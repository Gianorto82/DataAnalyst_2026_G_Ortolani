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giancarloortolani/Documents/GitHub/DataAnalyst_2026_G_Ortolani/"/>
    </mc:Choice>
  </mc:AlternateContent>
  <xr:revisionPtr revIDLastSave="0" documentId="13_ncr:1_{C8A6CD65-2DDA-F74D-A24B-7E59F7083A9E}" xr6:coauthVersionLast="47" xr6:coauthVersionMax="47" xr10:uidLastSave="{00000000-0000-0000-0000-000000000000}"/>
  <bookViews>
    <workbookView xWindow="0" yWindow="500" windowWidth="35840" windowHeight="20040" activeTab="1" xr2:uid="{00000000-000D-0000-FFFF-FFFF00000000}"/>
  </bookViews>
  <sheets>
    <sheet name="Parcheggio" sheetId="1" r:id="rId1"/>
    <sheet name="Frutta" sheetId="2" r:id="rId2"/>
  </sheets>
  <definedNames>
    <definedName name="costo">Frutta!$C:$C</definedName>
    <definedName name="frutta">Frutta!$A:$A</definedName>
    <definedName name="peso">Frutta!$B:$B</definedName>
    <definedName name="rif_peso">Frutta!$J$2</definedName>
    <definedName name="tipologia">Parcheggio!$C:$C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H4" i="2" a="1"/>
  <c r="H4" i="2" s="1"/>
  <c r="H5" i="2" a="1"/>
  <c r="H5" i="2" s="1"/>
  <c r="H6" i="2" a="1"/>
  <c r="H6" i="2" s="1"/>
  <c r="H2" i="2" a="1"/>
  <c r="H2" i="2" s="1"/>
  <c r="G3" i="2"/>
  <c r="G4" i="2"/>
  <c r="G5" i="2"/>
  <c r="G6" i="2"/>
  <c r="G2" i="2"/>
  <c r="F3" i="2"/>
  <c r="F4" i="2"/>
  <c r="F5" i="2"/>
  <c r="F6" i="2"/>
  <c r="F2" i="2"/>
  <c r="C3" i="1" a="1"/>
  <c r="C3" i="1" s="1"/>
  <c r="D3" i="1" s="1"/>
  <c r="C4" i="1" a="1"/>
  <c r="C4" i="1"/>
  <c r="C5" i="1" a="1"/>
  <c r="C5" i="1"/>
  <c r="C6" i="1" a="1"/>
  <c r="C6" i="1" s="1"/>
  <c r="D6" i="1" s="1"/>
  <c r="C7" i="1" a="1"/>
  <c r="C7" i="1"/>
  <c r="D7" i="1" s="1"/>
  <c r="C8" i="1" a="1"/>
  <c r="C8" i="1"/>
  <c r="D8" i="1" s="1"/>
  <c r="C9" i="1" a="1"/>
  <c r="C9" i="1" s="1"/>
  <c r="D9" i="1" s="1"/>
  <c r="C10" i="1" a="1"/>
  <c r="C10" i="1"/>
  <c r="C11" i="1" a="1"/>
  <c r="C11" i="1" s="1"/>
  <c r="D11" i="1" s="1"/>
  <c r="C12" i="1" a="1"/>
  <c r="C12" i="1" s="1"/>
  <c r="D12" i="1" s="1"/>
  <c r="C13" i="1" a="1"/>
  <c r="C13" i="1"/>
  <c r="D13" i="1" s="1"/>
  <c r="C14" i="1" a="1"/>
  <c r="C14" i="1"/>
  <c r="D14" i="1" s="1"/>
  <c r="C15" i="1" a="1"/>
  <c r="C15" i="1" s="1"/>
  <c r="D15" i="1" s="1"/>
  <c r="C16" i="1" a="1"/>
  <c r="C16" i="1"/>
  <c r="C17" i="1" a="1"/>
  <c r="C17" i="1" s="1"/>
  <c r="D17" i="1" s="1"/>
  <c r="C18" i="1" a="1"/>
  <c r="C18" i="1" s="1"/>
  <c r="D18" i="1" s="1"/>
  <c r="C19" i="1" a="1"/>
  <c r="C19" i="1"/>
  <c r="D19" i="1" s="1"/>
  <c r="C20" i="1" a="1"/>
  <c r="C20" i="1"/>
  <c r="D20" i="1" s="1"/>
  <c r="C21" i="1" a="1"/>
  <c r="C21" i="1" s="1"/>
  <c r="D21" i="1" s="1"/>
  <c r="C22" i="1" a="1"/>
  <c r="C22" i="1"/>
  <c r="C23" i="1" a="1"/>
  <c r="C23" i="1"/>
  <c r="C24" i="1" a="1"/>
  <c r="C24" i="1" s="1"/>
  <c r="D24" i="1" s="1"/>
  <c r="C25" i="1" a="1"/>
  <c r="C25" i="1"/>
  <c r="D25" i="1" s="1"/>
  <c r="C26" i="1" a="1"/>
  <c r="C26" i="1"/>
  <c r="D26" i="1" s="1"/>
  <c r="C27" i="1" a="1"/>
  <c r="C27" i="1" s="1"/>
  <c r="D27" i="1" s="1"/>
  <c r="C28" i="1" a="1"/>
  <c r="C28" i="1"/>
  <c r="C29" i="1" a="1"/>
  <c r="C29" i="1"/>
  <c r="C30" i="1" a="1"/>
  <c r="C30" i="1" s="1"/>
  <c r="D30" i="1" s="1"/>
  <c r="C31" i="1" a="1"/>
  <c r="C31" i="1"/>
  <c r="D31" i="1" s="1"/>
  <c r="C32" i="1" a="1"/>
  <c r="C32" i="1"/>
  <c r="D32" i="1" s="1"/>
  <c r="C33" i="1" a="1"/>
  <c r="C33" i="1" s="1"/>
  <c r="D33" i="1" s="1"/>
  <c r="C34" i="1" a="1"/>
  <c r="C34" i="1"/>
  <c r="C35" i="1" a="1"/>
  <c r="C35" i="1"/>
  <c r="C36" i="1" a="1"/>
  <c r="C36" i="1" s="1"/>
  <c r="D36" i="1" s="1"/>
  <c r="C37" i="1" a="1"/>
  <c r="C37" i="1"/>
  <c r="D37" i="1" s="1"/>
  <c r="C38" i="1" a="1"/>
  <c r="C38" i="1"/>
  <c r="D38" i="1" s="1"/>
  <c r="C39" i="1" a="1"/>
  <c r="C39" i="1" s="1"/>
  <c r="D39" i="1" s="1"/>
  <c r="C40" i="1" a="1"/>
  <c r="C40" i="1"/>
  <c r="C41" i="1" a="1"/>
  <c r="C41" i="1" s="1"/>
  <c r="D41" i="1" s="1"/>
  <c r="C42" i="1" a="1"/>
  <c r="C42" i="1" s="1"/>
  <c r="D42" i="1" s="1"/>
  <c r="C43" i="1" a="1"/>
  <c r="C43" i="1"/>
  <c r="D43" i="1" s="1"/>
  <c r="C44" i="1" a="1"/>
  <c r="C44" i="1"/>
  <c r="D44" i="1" s="1"/>
  <c r="C45" i="1" a="1"/>
  <c r="C45" i="1" s="1"/>
  <c r="D45" i="1" s="1"/>
  <c r="C46" i="1" a="1"/>
  <c r="C46" i="1"/>
  <c r="C47" i="1" a="1"/>
  <c r="C47" i="1" s="1"/>
  <c r="D47" i="1" s="1"/>
  <c r="C48" i="1" a="1"/>
  <c r="C48" i="1" s="1"/>
  <c r="D48" i="1" s="1"/>
  <c r="C49" i="1" a="1"/>
  <c r="C49" i="1"/>
  <c r="D49" i="1" s="1"/>
  <c r="C50" i="1" a="1"/>
  <c r="C50" i="1"/>
  <c r="D50" i="1" s="1"/>
  <c r="C51" i="1" a="1"/>
  <c r="C51" i="1" s="1"/>
  <c r="D51" i="1" s="1"/>
  <c r="C52" i="1" a="1"/>
  <c r="C52" i="1"/>
  <c r="C53" i="1" a="1"/>
  <c r="C53" i="1" s="1"/>
  <c r="D53" i="1" s="1"/>
  <c r="C54" i="1" a="1"/>
  <c r="C54" i="1" s="1"/>
  <c r="D54" i="1" s="1"/>
  <c r="C55" i="1" a="1"/>
  <c r="C55" i="1"/>
  <c r="D55" i="1" s="1"/>
  <c r="C56" i="1" a="1"/>
  <c r="C56" i="1"/>
  <c r="D56" i="1" s="1"/>
  <c r="C57" i="1" a="1"/>
  <c r="C57" i="1" s="1"/>
  <c r="D57" i="1" s="1"/>
  <c r="C58" i="1" a="1"/>
  <c r="C58" i="1" s="1"/>
  <c r="D58" i="1" s="1"/>
  <c r="C59" i="1" a="1"/>
  <c r="C59" i="1" s="1"/>
  <c r="D59" i="1" s="1"/>
  <c r="C60" i="1" a="1"/>
  <c r="C60" i="1" s="1"/>
  <c r="D60" i="1" s="1"/>
  <c r="C61" i="1" a="1"/>
  <c r="C61" i="1"/>
  <c r="D61" i="1" s="1"/>
  <c r="C62" i="1" a="1"/>
  <c r="C62" i="1"/>
  <c r="D62" i="1" s="1"/>
  <c r="C63" i="1" a="1"/>
  <c r="C63" i="1" s="1"/>
  <c r="D63" i="1" s="1"/>
  <c r="C64" i="1" a="1"/>
  <c r="C64" i="1"/>
  <c r="C65" i="1" a="1"/>
  <c r="C65" i="1" s="1"/>
  <c r="D65" i="1" s="1"/>
  <c r="C66" i="1" a="1"/>
  <c r="C66" i="1" s="1"/>
  <c r="D66" i="1" s="1"/>
  <c r="C67" i="1" a="1"/>
  <c r="C67" i="1"/>
  <c r="D67" i="1" s="1"/>
  <c r="C68" i="1" a="1"/>
  <c r="C68" i="1"/>
  <c r="D68" i="1" s="1"/>
  <c r="C69" i="1" a="1"/>
  <c r="C69" i="1" s="1"/>
  <c r="D69" i="1" s="1"/>
  <c r="C70" i="1" a="1"/>
  <c r="C70" i="1"/>
  <c r="C71" i="1" a="1"/>
  <c r="C71" i="1" s="1"/>
  <c r="D71" i="1" s="1"/>
  <c r="C72" i="1" a="1"/>
  <c r="C72" i="1" s="1"/>
  <c r="D72" i="1" s="1"/>
  <c r="C73" i="1" a="1"/>
  <c r="C73" i="1"/>
  <c r="D73" i="1" s="1"/>
  <c r="C74" i="1" a="1"/>
  <c r="C74" i="1"/>
  <c r="D74" i="1" s="1"/>
  <c r="C75" i="1" a="1"/>
  <c r="C75" i="1" s="1"/>
  <c r="D75" i="1" s="1"/>
  <c r="C76" i="1" a="1"/>
  <c r="C76" i="1" s="1"/>
  <c r="D76" i="1" s="1"/>
  <c r="C77" i="1" a="1"/>
  <c r="C77" i="1" s="1"/>
  <c r="D77" i="1" s="1"/>
  <c r="C78" i="1" a="1"/>
  <c r="C78" i="1" s="1"/>
  <c r="D78" i="1" s="1"/>
  <c r="C79" i="1" a="1"/>
  <c r="C79" i="1"/>
  <c r="D79" i="1" s="1"/>
  <c r="C80" i="1" a="1"/>
  <c r="C80" i="1"/>
  <c r="D80" i="1" s="1"/>
  <c r="C81" i="1" a="1"/>
  <c r="C81" i="1" s="1"/>
  <c r="D81" i="1" s="1"/>
  <c r="C82" i="1" a="1"/>
  <c r="C82" i="1" s="1"/>
  <c r="D82" i="1" s="1"/>
  <c r="C83" i="1" a="1"/>
  <c r="C83" i="1" s="1"/>
  <c r="D83" i="1" s="1"/>
  <c r="C84" i="1" a="1"/>
  <c r="C84" i="1" s="1"/>
  <c r="D84" i="1" s="1"/>
  <c r="C85" i="1" a="1"/>
  <c r="C85" i="1"/>
  <c r="D85" i="1" s="1"/>
  <c r="C86" i="1" a="1"/>
  <c r="C86" i="1"/>
  <c r="D86" i="1" s="1"/>
  <c r="C87" i="1" a="1"/>
  <c r="C87" i="1" s="1"/>
  <c r="D87" i="1" s="1"/>
  <c r="C88" i="1" a="1"/>
  <c r="C88" i="1" s="1"/>
  <c r="D88" i="1" s="1"/>
  <c r="C89" i="1" a="1"/>
  <c r="C89" i="1" s="1"/>
  <c r="D89" i="1" s="1"/>
  <c r="C90" i="1" a="1"/>
  <c r="C90" i="1" s="1"/>
  <c r="D90" i="1" s="1"/>
  <c r="C91" i="1" a="1"/>
  <c r="C91" i="1"/>
  <c r="D91" i="1" s="1"/>
  <c r="C92" i="1" a="1"/>
  <c r="C92" i="1"/>
  <c r="D92" i="1" s="1"/>
  <c r="C93" i="1" a="1"/>
  <c r="C93" i="1" s="1"/>
  <c r="D93" i="1" s="1"/>
  <c r="C94" i="1" a="1"/>
  <c r="C94" i="1" s="1"/>
  <c r="D94" i="1" s="1"/>
  <c r="C95" i="1" a="1"/>
  <c r="C95" i="1" s="1"/>
  <c r="D95" i="1" s="1"/>
  <c r="C96" i="1" a="1"/>
  <c r="C96" i="1" s="1"/>
  <c r="D96" i="1" s="1"/>
  <c r="C97" i="1" a="1"/>
  <c r="C97" i="1"/>
  <c r="D97" i="1" s="1"/>
  <c r="C98" i="1" a="1"/>
  <c r="C98" i="1"/>
  <c r="D98" i="1" s="1"/>
  <c r="C99" i="1" a="1"/>
  <c r="C99" i="1" s="1"/>
  <c r="D99" i="1" s="1"/>
  <c r="C100" i="1" a="1"/>
  <c r="C100" i="1" s="1"/>
  <c r="D100" i="1" s="1"/>
  <c r="C101" i="1" a="1"/>
  <c r="C101" i="1" s="1"/>
  <c r="D101" i="1" s="1"/>
  <c r="C2" i="1" a="1"/>
  <c r="C2" i="1" s="1"/>
  <c r="D2" i="1" s="1"/>
  <c r="D4" i="1"/>
  <c r="D5" i="1"/>
  <c r="D10" i="1"/>
  <c r="D16" i="1"/>
  <c r="D22" i="1"/>
  <c r="D23" i="1"/>
  <c r="D28" i="1"/>
  <c r="D29" i="1"/>
  <c r="D34" i="1"/>
  <c r="D35" i="1"/>
  <c r="D40" i="1"/>
  <c r="D46" i="1"/>
  <c r="D52" i="1"/>
  <c r="D64" i="1"/>
  <c r="D7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<sst xmlns="http://schemas.openxmlformats.org/spreadsheetml/2006/main" count="167" uniqueCount="117">
  <si>
    <t>TARGA</t>
  </si>
  <si>
    <t>ORE PARCHEGGIATE</t>
  </si>
  <si>
    <t>TIPOLOGIA VEICOLO</t>
  </si>
  <si>
    <t>COSTO</t>
  </si>
  <si>
    <t>AC234DF</t>
  </si>
  <si>
    <t>PQ456IJ</t>
  </si>
  <si>
    <t>UV123KL</t>
  </si>
  <si>
    <t>WX789MN</t>
  </si>
  <si>
    <t>YZ012OP</t>
  </si>
  <si>
    <t>AB345QR</t>
  </si>
  <si>
    <t>CD678ST</t>
  </si>
  <si>
    <t>EF901UV</t>
  </si>
  <si>
    <t>GH234WX</t>
  </si>
  <si>
    <t>IJ567YZ</t>
  </si>
  <si>
    <t>KL890AB</t>
  </si>
  <si>
    <t>MN123CD</t>
  </si>
  <si>
    <t>OP456EF</t>
  </si>
  <si>
    <t>QR789GH</t>
  </si>
  <si>
    <t>ST012IJ</t>
  </si>
  <si>
    <t>UV345KL</t>
  </si>
  <si>
    <t>WX678MN</t>
  </si>
  <si>
    <t>YZ901OP</t>
  </si>
  <si>
    <t>AB234QR</t>
  </si>
  <si>
    <t>CD567ST</t>
  </si>
  <si>
    <t>EF890UV</t>
  </si>
  <si>
    <t>GH123WX</t>
  </si>
  <si>
    <t>IJ456YZ</t>
  </si>
  <si>
    <t>KL789AB</t>
  </si>
  <si>
    <t>MN012CD</t>
  </si>
  <si>
    <t>OP345EF</t>
  </si>
  <si>
    <t>QR678GH</t>
  </si>
  <si>
    <t>ST901IJ</t>
  </si>
  <si>
    <t>UV234KL</t>
  </si>
  <si>
    <t>WX567MN</t>
  </si>
  <si>
    <t>YZ890OP</t>
  </si>
  <si>
    <t>AB123QR</t>
  </si>
  <si>
    <t>CD456ST</t>
  </si>
  <si>
    <t>EF789UV</t>
  </si>
  <si>
    <t>GH012WX</t>
  </si>
  <si>
    <t>IJ345YZ</t>
  </si>
  <si>
    <t>KL678AB</t>
  </si>
  <si>
    <t>MN901CD</t>
  </si>
  <si>
    <t>OP234EF</t>
  </si>
  <si>
    <t>QR567GH</t>
  </si>
  <si>
    <t>ST890IJ</t>
  </si>
  <si>
    <t>WX456MN</t>
  </si>
  <si>
    <t>YZ789OP</t>
  </si>
  <si>
    <t>AB012QR</t>
  </si>
  <si>
    <t>CD345ST</t>
  </si>
  <si>
    <t>EF678UV</t>
  </si>
  <si>
    <t>GH901WX</t>
  </si>
  <si>
    <t>IJ234YZ</t>
  </si>
  <si>
    <t>KL567AB</t>
  </si>
  <si>
    <t>MN890CD</t>
  </si>
  <si>
    <t>OP123EF</t>
  </si>
  <si>
    <t>QR456GH</t>
  </si>
  <si>
    <t>ST789IJ</t>
  </si>
  <si>
    <t>UV012KL</t>
  </si>
  <si>
    <t>WX345MN</t>
  </si>
  <si>
    <t>YZ678OP</t>
  </si>
  <si>
    <t>AB901QR</t>
  </si>
  <si>
    <t>CD234ST</t>
  </si>
  <si>
    <t>EF567UV</t>
  </si>
  <si>
    <t>GH890WX</t>
  </si>
  <si>
    <t>IJ123YZ</t>
  </si>
  <si>
    <t>KL456AB</t>
  </si>
  <si>
    <t>MN789CD</t>
  </si>
  <si>
    <t>OP012EF</t>
  </si>
  <si>
    <t>QR345GH</t>
  </si>
  <si>
    <t>ST678IJ</t>
  </si>
  <si>
    <t>UV890KL</t>
  </si>
  <si>
    <t>WX123MN</t>
  </si>
  <si>
    <t>YZ456OP</t>
  </si>
  <si>
    <t>AB789QR</t>
  </si>
  <si>
    <t>CD012ST</t>
  </si>
  <si>
    <t>EF345UV</t>
  </si>
  <si>
    <t>GH678WX</t>
  </si>
  <si>
    <t>IJ901YZ</t>
  </si>
  <si>
    <t>KL234AB</t>
  </si>
  <si>
    <t>MN567CD</t>
  </si>
  <si>
    <t>OP890EF</t>
  </si>
  <si>
    <t>QR123GH</t>
  </si>
  <si>
    <t>ST456IJ</t>
  </si>
  <si>
    <t>UV789KL</t>
  </si>
  <si>
    <t>WX012MN</t>
  </si>
  <si>
    <t>YZ345OP</t>
  </si>
  <si>
    <t>AB678QR</t>
  </si>
  <si>
    <t>CD901ST</t>
  </si>
  <si>
    <t>EF234UV</t>
  </si>
  <si>
    <t>GH567WX</t>
  </si>
  <si>
    <t>IJ890YZ</t>
  </si>
  <si>
    <t>KL123AB</t>
  </si>
  <si>
    <t>MN456CD</t>
  </si>
  <si>
    <t>OP789EF</t>
  </si>
  <si>
    <t>QR012GH</t>
  </si>
  <si>
    <t>ST345IJ</t>
  </si>
  <si>
    <t>UV678KL</t>
  </si>
  <si>
    <t>WX901MN</t>
  </si>
  <si>
    <t>YZ234OP</t>
  </si>
  <si>
    <t>AB567QR</t>
  </si>
  <si>
    <t>CD890ST</t>
  </si>
  <si>
    <t>EF123UV</t>
  </si>
  <si>
    <t>FRUTTA</t>
  </si>
  <si>
    <t>PESO</t>
  </si>
  <si>
    <t>Mela</t>
  </si>
  <si>
    <t>Banana</t>
  </si>
  <si>
    <t>Arancia</t>
  </si>
  <si>
    <t>Pera</t>
  </si>
  <si>
    <t>Uva</t>
  </si>
  <si>
    <t>2€ ogni 30 minuti per i veicoli di categoria 0, 1,5€ ogni 30 minuti per i veicoli di cateogoria 1, 2€ ogni ora per i veicoli di cateogira 2.</t>
  </si>
  <si>
    <t>60 min</t>
  </si>
  <si>
    <t>Categorie di frutta acquistate</t>
  </si>
  <si>
    <t>Numero di acquisti</t>
  </si>
  <si>
    <t>totale di Kg acquistati</t>
  </si>
  <si>
    <t>importo totale degli acquisti superiori al peso di riferimento</t>
  </si>
  <si>
    <t>peso di riferimento</t>
  </si>
  <si>
    <t>M789GH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</si>
</sst>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&quot; Kg&quot;"/>
  </numFmts>
  <fonts count="5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4" fontId="0" fillId="0" borderId="0" xfId="1" applyFont="1"/>
    <xf numFmtId="2" fontId="2" fillId="0" borderId="0" xfId="0" applyNumberFormat="1" applyFont="1"/>
    <xf numFmtId="44" fontId="2" fillId="0" borderId="0" xfId="1" applyFont="1"/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</cellXfs>
  <cellStyles count="2"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"/>
  <sheetViews>
    <sheetView topLeftCell="A2" workbookViewId="0">
      <selection activeCell="D2" sqref="D2"/>
    </sheetView>
  </sheetViews>
  <sheetFormatPr baseColWidth="10" defaultColWidth="12.6640625" defaultRowHeight="15.75" customHeight="1" x14ac:dyDescent="0.15"/>
  <cols>
    <col min="2" max="2" width="25.33203125" customWidth="1"/>
    <col min="3" max="3" width="20.1640625" customWidth="1"/>
    <col min="4" max="4" width="22.6640625" customWidth="1"/>
  </cols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4</v>
      </c>
      <c r="B2" s="5">
        <v>1.5</v>
      </c>
      <c r="C2" cm="1">
        <f t="array" ref="C2">_xlfn.IFS(AND(LEFT(A2,1)&gt;="a",LEFT(A2,1)&lt;="f"),0,AND(LEFT(A2,1)&gt;="g",LEFT(A2,1)&lt;="m"),1,AND(LEFT(A2,1)&gt;="n",LEFT(A2,1)&lt;="z"),2,TRUE,"ERRORE")</f>
        <v>0</v>
      </c>
      <c r="D2" s="4">
        <f>_xlfn.IFS(C2=$E$4,$F$4*B2,C2=$E$5,$F$5*B2,C2=$E$6,$F$6*B2)</f>
        <v>6</v>
      </c>
      <c r="F2" s="3" t="s">
        <v>109</v>
      </c>
    </row>
    <row r="3" spans="1:26" ht="15.75" customHeight="1" x14ac:dyDescent="0.15">
      <c r="A3" s="2" t="s">
        <v>116</v>
      </c>
      <c r="B3" s="5">
        <v>2.5</v>
      </c>
      <c r="C3" cm="1">
        <f t="array" ref="C3">_xlfn.IFS(AND(LEFT(A3,1)&gt;="a",LEFT(A3,1)&lt;="f"),0,AND(LEFT(A3,1)&gt;="g",LEFT(A3,1)&lt;="m"),1,AND(LEFT(A3,1)&gt;="n",LEFT(A3,1)&lt;="z"),2,TRUE,"ERRORE")</f>
        <v>1</v>
      </c>
      <c r="D3" s="4">
        <f t="shared" ref="D3:D66" si="0">_xlfn.IFS(C3=$E$4,$F$4*B3,C3=$E$5,$F$5*B3,C3=$E$6,$F$6*B3)</f>
        <v>7.5</v>
      </c>
    </row>
    <row r="4" spans="1:26" ht="15.75" customHeight="1" x14ac:dyDescent="0.15">
      <c r="A4" s="2" t="s">
        <v>5</v>
      </c>
      <c r="B4" s="5">
        <v>3.5</v>
      </c>
      <c r="C4" cm="1">
        <f t="array" ref="C4">_xlfn.IFS(AND(LEFT(A4,1)&gt;="a",LEFT(A4,1)&lt;="f"),0,AND(LEFT(A4,1)&gt;="g",LEFT(A4,1)&lt;="m"),1,AND(LEFT(A4,1)&gt;="n",LEFT(A4,1)&lt;="z"),2,TRUE,"ERRORE")</f>
        <v>2</v>
      </c>
      <c r="D4" s="4">
        <f t="shared" si="0"/>
        <v>7</v>
      </c>
      <c r="E4">
        <v>0</v>
      </c>
      <c r="F4" s="4">
        <v>4</v>
      </c>
      <c r="G4" s="3" t="s">
        <v>110</v>
      </c>
    </row>
    <row r="5" spans="1:26" ht="15.75" customHeight="1" x14ac:dyDescent="0.15">
      <c r="A5" s="2" t="s">
        <v>6</v>
      </c>
      <c r="B5" s="5">
        <v>4.5</v>
      </c>
      <c r="C5" cm="1">
        <f t="array" ref="C5">_xlfn.IFS(AND(LEFT(A5,1)&gt;="a",LEFT(A5,1)&lt;="f"),0,AND(LEFT(A5,1)&gt;="g",LEFT(A5,1)&lt;="m"),1,AND(LEFT(A5,1)&gt;="n",LEFT(A5,1)&lt;="z"),2,TRUE,"ERRORE")</f>
        <v>2</v>
      </c>
      <c r="D5" s="4">
        <f t="shared" si="0"/>
        <v>9</v>
      </c>
      <c r="E5">
        <v>1</v>
      </c>
      <c r="F5" s="4">
        <v>3</v>
      </c>
      <c r="G5" s="3" t="s">
        <v>110</v>
      </c>
    </row>
    <row r="6" spans="1:26" ht="15.75" customHeight="1" x14ac:dyDescent="0.15">
      <c r="A6" s="2" t="s">
        <v>7</v>
      </c>
      <c r="B6" s="5">
        <v>5.5</v>
      </c>
      <c r="C6" cm="1">
        <f t="array" ref="C6">_xlfn.IFS(AND(LEFT(A6,1)&gt;="a",LEFT(A6,1)&lt;="f"),0,AND(LEFT(A6,1)&gt;="g",LEFT(A6,1)&lt;="m"),1,AND(LEFT(A6,1)&gt;="n",LEFT(A6,1)&lt;="z"),2,TRUE,"ERRORE")</f>
        <v>2</v>
      </c>
      <c r="D6" s="4">
        <f t="shared" si="0"/>
        <v>11</v>
      </c>
      <c r="E6">
        <v>2</v>
      </c>
      <c r="F6" s="4">
        <v>2</v>
      </c>
      <c r="G6" s="3" t="s">
        <v>110</v>
      </c>
    </row>
    <row r="7" spans="1:26" ht="15.75" customHeight="1" x14ac:dyDescent="0.15">
      <c r="A7" s="2" t="s">
        <v>8</v>
      </c>
      <c r="B7" s="5">
        <v>6.5</v>
      </c>
      <c r="C7" cm="1">
        <f t="array" ref="C7">_xlfn.IFS(AND(LEFT(A7,1)&gt;="a",LEFT(A7,1)&lt;="f"),0,AND(LEFT(A7,1)&gt;="g",LEFT(A7,1)&lt;="m"),1,AND(LEFT(A7,1)&gt;="n",LEFT(A7,1)&lt;="z"),2,TRUE,"ERRORE")</f>
        <v>2</v>
      </c>
      <c r="D7" s="4">
        <f t="shared" si="0"/>
        <v>13</v>
      </c>
    </row>
    <row r="8" spans="1:26" ht="15.75" customHeight="1" x14ac:dyDescent="0.15">
      <c r="A8" s="2" t="s">
        <v>9</v>
      </c>
      <c r="B8" s="5">
        <v>7.5</v>
      </c>
      <c r="C8" cm="1">
        <f t="array" ref="C8">_xlfn.IFS(AND(LEFT(A8,1)&gt;="a",LEFT(A8,1)&lt;="f"),0,AND(LEFT(A8,1)&gt;="g",LEFT(A8,1)&lt;="m"),1,AND(LEFT(A8,1)&gt;="n",LEFT(A8,1)&lt;="z"),2,TRUE,"ERRORE")</f>
        <v>0</v>
      </c>
      <c r="D8" s="4">
        <f t="shared" si="0"/>
        <v>30</v>
      </c>
    </row>
    <row r="9" spans="1:26" ht="15.75" customHeight="1" x14ac:dyDescent="0.15">
      <c r="A9" s="2" t="s">
        <v>10</v>
      </c>
      <c r="B9" s="5">
        <v>8.5</v>
      </c>
      <c r="C9" cm="1">
        <f t="array" ref="C9">_xlfn.IFS(AND(LEFT(A9,1)&gt;="a",LEFT(A9,1)&lt;="f"),0,AND(LEFT(A9,1)&gt;="g",LEFT(A9,1)&lt;="m"),1,AND(LEFT(A9,1)&gt;="n",LEFT(A9,1)&lt;="z"),2,TRUE,"ERRORE")</f>
        <v>0</v>
      </c>
      <c r="D9" s="4">
        <f t="shared" si="0"/>
        <v>34</v>
      </c>
    </row>
    <row r="10" spans="1:26" ht="15.75" customHeight="1" x14ac:dyDescent="0.15">
      <c r="A10" s="2" t="s">
        <v>11</v>
      </c>
      <c r="B10" s="5">
        <v>9.5</v>
      </c>
      <c r="C10" cm="1">
        <f t="array" ref="C10">_xlfn.IFS(AND(LEFT(A10,1)&gt;="a",LEFT(A10,1)&lt;="f"),0,AND(LEFT(A10,1)&gt;="g",LEFT(A10,1)&lt;="m"),1,AND(LEFT(A10,1)&gt;="n",LEFT(A10,1)&lt;="z"),2,TRUE,"ERRORE")</f>
        <v>0</v>
      </c>
      <c r="D10" s="4">
        <f t="shared" si="0"/>
        <v>38</v>
      </c>
    </row>
    <row r="11" spans="1:26" ht="15.75" customHeight="1" x14ac:dyDescent="0.15">
      <c r="A11" s="2" t="s">
        <v>12</v>
      </c>
      <c r="B11" s="5">
        <v>10</v>
      </c>
      <c r="C11" cm="1">
        <f t="array" ref="C11">_xlfn.IFS(AND(LEFT(A11,1)&gt;="a",LEFT(A11,1)&lt;="f"),0,AND(LEFT(A11,1)&gt;="g",LEFT(A11,1)&lt;="m"),1,AND(LEFT(A11,1)&gt;="n",LEFT(A11,1)&lt;="z"),2,TRUE,"ERRORE")</f>
        <v>1</v>
      </c>
      <c r="D11" s="4">
        <f t="shared" si="0"/>
        <v>30</v>
      </c>
    </row>
    <row r="12" spans="1:26" ht="15.75" customHeight="1" x14ac:dyDescent="0.15">
      <c r="A12" s="2" t="s">
        <v>13</v>
      </c>
      <c r="B12" s="5">
        <v>0.5</v>
      </c>
      <c r="C12" cm="1">
        <f t="array" ref="C12">_xlfn.IFS(AND(LEFT(A12,1)&gt;="a",LEFT(A12,1)&lt;="f"),0,AND(LEFT(A12,1)&gt;="g",LEFT(A12,1)&lt;="m"),1,AND(LEFT(A12,1)&gt;="n",LEFT(A12,1)&lt;="z"),2,TRUE,"ERRORE")</f>
        <v>1</v>
      </c>
      <c r="D12" s="4">
        <f t="shared" si="0"/>
        <v>1.5</v>
      </c>
    </row>
    <row r="13" spans="1:26" ht="15.75" customHeight="1" x14ac:dyDescent="0.15">
      <c r="A13" s="2" t="s">
        <v>14</v>
      </c>
      <c r="B13" s="5">
        <v>1</v>
      </c>
      <c r="C13" cm="1">
        <f t="array" ref="C13">_xlfn.IFS(AND(LEFT(A13,1)&gt;="a",LEFT(A13,1)&lt;="f"),0,AND(LEFT(A13,1)&gt;="g",LEFT(A13,1)&lt;="m"),1,AND(LEFT(A13,1)&gt;="n",LEFT(A13,1)&lt;="z"),2,TRUE,"ERRORE")</f>
        <v>1</v>
      </c>
      <c r="D13" s="4">
        <f t="shared" si="0"/>
        <v>3</v>
      </c>
    </row>
    <row r="14" spans="1:26" ht="15.75" customHeight="1" x14ac:dyDescent="0.15">
      <c r="A14" s="2" t="s">
        <v>15</v>
      </c>
      <c r="B14" s="5">
        <v>2</v>
      </c>
      <c r="C14" cm="1">
        <f t="array" ref="C14">_xlfn.IFS(AND(LEFT(A14,1)&gt;="a",LEFT(A14,1)&lt;="f"),0,AND(LEFT(A14,1)&gt;="g",LEFT(A14,1)&lt;="m"),1,AND(LEFT(A14,1)&gt;="n",LEFT(A14,1)&lt;="z"),2,TRUE,"ERRORE")</f>
        <v>1</v>
      </c>
      <c r="D14" s="4">
        <f t="shared" si="0"/>
        <v>6</v>
      </c>
    </row>
    <row r="15" spans="1:26" ht="15.75" customHeight="1" x14ac:dyDescent="0.15">
      <c r="A15" s="2" t="s">
        <v>16</v>
      </c>
      <c r="B15" s="5">
        <v>3</v>
      </c>
      <c r="C15" cm="1">
        <f t="array" ref="C15">_xlfn.IFS(AND(LEFT(A15,1)&gt;="a",LEFT(A15,1)&lt;="f"),0,AND(LEFT(A15,1)&gt;="g",LEFT(A15,1)&lt;="m"),1,AND(LEFT(A15,1)&gt;="n",LEFT(A15,1)&lt;="z"),2,TRUE,"ERRORE")</f>
        <v>2</v>
      </c>
      <c r="D15" s="4">
        <f t="shared" si="0"/>
        <v>6</v>
      </c>
    </row>
    <row r="16" spans="1:26" ht="15.75" customHeight="1" x14ac:dyDescent="0.15">
      <c r="A16" s="2" t="s">
        <v>17</v>
      </c>
      <c r="B16" s="5">
        <v>4</v>
      </c>
      <c r="C16" cm="1">
        <f t="array" ref="C16">_xlfn.IFS(AND(LEFT(A16,1)&gt;="a",LEFT(A16,1)&lt;="f"),0,AND(LEFT(A16,1)&gt;="g",LEFT(A16,1)&lt;="m"),1,AND(LEFT(A16,1)&gt;="n",LEFT(A16,1)&lt;="z"),2,TRUE,"ERRORE")</f>
        <v>2</v>
      </c>
      <c r="D16" s="4">
        <f t="shared" si="0"/>
        <v>8</v>
      </c>
    </row>
    <row r="17" spans="1:4" ht="15.75" customHeight="1" x14ac:dyDescent="0.15">
      <c r="A17" s="2" t="s">
        <v>18</v>
      </c>
      <c r="B17" s="5">
        <v>5</v>
      </c>
      <c r="C17" cm="1">
        <f t="array" ref="C17">_xlfn.IFS(AND(LEFT(A17,1)&gt;="a",LEFT(A17,1)&lt;="f"),0,AND(LEFT(A17,1)&gt;="g",LEFT(A17,1)&lt;="m"),1,AND(LEFT(A17,1)&gt;="n",LEFT(A17,1)&lt;="z"),2,TRUE,"ERRORE")</f>
        <v>2</v>
      </c>
      <c r="D17" s="4">
        <f t="shared" si="0"/>
        <v>10</v>
      </c>
    </row>
    <row r="18" spans="1:4" ht="15.75" customHeight="1" x14ac:dyDescent="0.15">
      <c r="A18" s="2" t="s">
        <v>19</v>
      </c>
      <c r="B18" s="5">
        <v>6</v>
      </c>
      <c r="C18" cm="1">
        <f t="array" ref="C18">_xlfn.IFS(AND(LEFT(A18,1)&gt;="a",LEFT(A18,1)&lt;="f"),0,AND(LEFT(A18,1)&gt;="g",LEFT(A18,1)&lt;="m"),1,AND(LEFT(A18,1)&gt;="n",LEFT(A18,1)&lt;="z"),2,TRUE,"ERRORE")</f>
        <v>2</v>
      </c>
      <c r="D18" s="4">
        <f t="shared" si="0"/>
        <v>12</v>
      </c>
    </row>
    <row r="19" spans="1:4" ht="15.75" customHeight="1" x14ac:dyDescent="0.15">
      <c r="A19" s="2" t="s">
        <v>20</v>
      </c>
      <c r="B19" s="5">
        <v>7</v>
      </c>
      <c r="C19" cm="1">
        <f t="array" ref="C19">_xlfn.IFS(AND(LEFT(A19,1)&gt;="a",LEFT(A19,1)&lt;="f"),0,AND(LEFT(A19,1)&gt;="g",LEFT(A19,1)&lt;="m"),1,AND(LEFT(A19,1)&gt;="n",LEFT(A19,1)&lt;="z"),2,TRUE,"ERRORE")</f>
        <v>2</v>
      </c>
      <c r="D19" s="4">
        <f t="shared" si="0"/>
        <v>14</v>
      </c>
    </row>
    <row r="20" spans="1:4" ht="15.75" customHeight="1" x14ac:dyDescent="0.15">
      <c r="A20" s="2" t="s">
        <v>21</v>
      </c>
      <c r="B20" s="5">
        <v>8</v>
      </c>
      <c r="C20" cm="1">
        <f t="array" ref="C20">_xlfn.IFS(AND(LEFT(A20,1)&gt;="a",LEFT(A20,1)&lt;="f"),0,AND(LEFT(A20,1)&gt;="g",LEFT(A20,1)&lt;="m"),1,AND(LEFT(A20,1)&gt;="n",LEFT(A20,1)&lt;="z"),2,TRUE,"ERRORE")</f>
        <v>2</v>
      </c>
      <c r="D20" s="4">
        <f t="shared" si="0"/>
        <v>16</v>
      </c>
    </row>
    <row r="21" spans="1:4" ht="15.75" customHeight="1" x14ac:dyDescent="0.15">
      <c r="A21" s="2" t="s">
        <v>22</v>
      </c>
      <c r="B21" s="5">
        <v>9</v>
      </c>
      <c r="C21" cm="1">
        <f t="array" ref="C21">_xlfn.IFS(AND(LEFT(A21,1)&gt;="a",LEFT(A21,1)&lt;="f"),0,AND(LEFT(A21,1)&gt;="g",LEFT(A21,1)&lt;="m"),1,AND(LEFT(A21,1)&gt;="n",LEFT(A21,1)&lt;="z"),2,TRUE,"ERRORE")</f>
        <v>0</v>
      </c>
      <c r="D21" s="4">
        <f t="shared" si="0"/>
        <v>36</v>
      </c>
    </row>
    <row r="22" spans="1:4" ht="15.75" customHeight="1" x14ac:dyDescent="0.15">
      <c r="A22" s="2" t="s">
        <v>23</v>
      </c>
      <c r="B22" s="5">
        <v>10</v>
      </c>
      <c r="C22" cm="1">
        <f t="array" ref="C22">_xlfn.IFS(AND(LEFT(A22,1)&gt;="a",LEFT(A22,1)&lt;="f"),0,AND(LEFT(A22,1)&gt;="g",LEFT(A22,1)&lt;="m"),1,AND(LEFT(A22,1)&gt;="n",LEFT(A22,1)&lt;="z"),2,TRUE,"ERRORE")</f>
        <v>0</v>
      </c>
      <c r="D22" s="4">
        <f t="shared" si="0"/>
        <v>40</v>
      </c>
    </row>
    <row r="23" spans="1:4" ht="15.75" customHeight="1" x14ac:dyDescent="0.15">
      <c r="A23" s="2" t="s">
        <v>24</v>
      </c>
      <c r="B23" s="5">
        <v>0.5</v>
      </c>
      <c r="C23" cm="1">
        <f t="array" ref="C23">_xlfn.IFS(AND(LEFT(A23,1)&gt;="a",LEFT(A23,1)&lt;="f"),0,AND(LEFT(A23,1)&gt;="g",LEFT(A23,1)&lt;="m"),1,AND(LEFT(A23,1)&gt;="n",LEFT(A23,1)&lt;="z"),2,TRUE,"ERRORE")</f>
        <v>0</v>
      </c>
      <c r="D23" s="4">
        <f t="shared" si="0"/>
        <v>2</v>
      </c>
    </row>
    <row r="24" spans="1:4" ht="15.75" customHeight="1" x14ac:dyDescent="0.15">
      <c r="A24" s="2" t="s">
        <v>25</v>
      </c>
      <c r="B24" s="5">
        <v>1</v>
      </c>
      <c r="C24" cm="1">
        <f t="array" ref="C24">_xlfn.IFS(AND(LEFT(A24,1)&gt;="a",LEFT(A24,1)&lt;="f"),0,AND(LEFT(A24,1)&gt;="g",LEFT(A24,1)&lt;="m"),1,AND(LEFT(A24,1)&gt;="n",LEFT(A24,1)&lt;="z"),2,TRUE,"ERRORE")</f>
        <v>1</v>
      </c>
      <c r="D24" s="4">
        <f t="shared" si="0"/>
        <v>3</v>
      </c>
    </row>
    <row r="25" spans="1:4" ht="15.75" customHeight="1" x14ac:dyDescent="0.15">
      <c r="A25" s="2" t="s">
        <v>26</v>
      </c>
      <c r="B25" s="5">
        <v>2</v>
      </c>
      <c r="C25" cm="1">
        <f t="array" ref="C25">_xlfn.IFS(AND(LEFT(A25,1)&gt;="a",LEFT(A25,1)&lt;="f"),0,AND(LEFT(A25,1)&gt;="g",LEFT(A25,1)&lt;="m"),1,AND(LEFT(A25,1)&gt;="n",LEFT(A25,1)&lt;="z"),2,TRUE,"ERRORE")</f>
        <v>1</v>
      </c>
      <c r="D25" s="4">
        <f t="shared" si="0"/>
        <v>6</v>
      </c>
    </row>
    <row r="26" spans="1:4" ht="15.75" customHeight="1" x14ac:dyDescent="0.15">
      <c r="A26" s="2" t="s">
        <v>27</v>
      </c>
      <c r="B26" s="5">
        <v>3</v>
      </c>
      <c r="C26" cm="1">
        <f t="array" ref="C26">_xlfn.IFS(AND(LEFT(A26,1)&gt;="a",LEFT(A26,1)&lt;="f"),0,AND(LEFT(A26,1)&gt;="g",LEFT(A26,1)&lt;="m"),1,AND(LEFT(A26,1)&gt;="n",LEFT(A26,1)&lt;="z"),2,TRUE,"ERRORE")</f>
        <v>1</v>
      </c>
      <c r="D26" s="4">
        <f t="shared" si="0"/>
        <v>9</v>
      </c>
    </row>
    <row r="27" spans="1:4" ht="15.75" customHeight="1" x14ac:dyDescent="0.15">
      <c r="A27" s="2" t="s">
        <v>28</v>
      </c>
      <c r="B27" s="5">
        <v>4</v>
      </c>
      <c r="C27" cm="1">
        <f t="array" ref="C27">_xlfn.IFS(AND(LEFT(A27,1)&gt;="a",LEFT(A27,1)&lt;="f"),0,AND(LEFT(A27,1)&gt;="g",LEFT(A27,1)&lt;="m"),1,AND(LEFT(A27,1)&gt;="n",LEFT(A27,1)&lt;="z"),2,TRUE,"ERRORE")</f>
        <v>1</v>
      </c>
      <c r="D27" s="4">
        <f t="shared" si="0"/>
        <v>12</v>
      </c>
    </row>
    <row r="28" spans="1:4" ht="15.75" customHeight="1" x14ac:dyDescent="0.15">
      <c r="A28" s="2" t="s">
        <v>29</v>
      </c>
      <c r="B28" s="5">
        <v>5</v>
      </c>
      <c r="C28" cm="1">
        <f t="array" ref="C28">_xlfn.IFS(AND(LEFT(A28,1)&gt;="a",LEFT(A28,1)&lt;="f"),0,AND(LEFT(A28,1)&gt;="g",LEFT(A28,1)&lt;="m"),1,AND(LEFT(A28,1)&gt;="n",LEFT(A28,1)&lt;="z"),2,TRUE,"ERRORE")</f>
        <v>2</v>
      </c>
      <c r="D28" s="4">
        <f t="shared" si="0"/>
        <v>10</v>
      </c>
    </row>
    <row r="29" spans="1:4" ht="15.75" customHeight="1" x14ac:dyDescent="0.15">
      <c r="A29" s="2" t="s">
        <v>30</v>
      </c>
      <c r="B29" s="5">
        <v>6</v>
      </c>
      <c r="C29" cm="1">
        <f t="array" ref="C29">_xlfn.IFS(AND(LEFT(A29,1)&gt;="a",LEFT(A29,1)&lt;="f"),0,AND(LEFT(A29,1)&gt;="g",LEFT(A29,1)&lt;="m"),1,AND(LEFT(A29,1)&gt;="n",LEFT(A29,1)&lt;="z"),2,TRUE,"ERRORE")</f>
        <v>2</v>
      </c>
      <c r="D29" s="4">
        <f t="shared" si="0"/>
        <v>12</v>
      </c>
    </row>
    <row r="30" spans="1:4" ht="15.75" customHeight="1" x14ac:dyDescent="0.15">
      <c r="A30" s="2" t="s">
        <v>31</v>
      </c>
      <c r="B30" s="5">
        <v>7</v>
      </c>
      <c r="C30" cm="1">
        <f t="array" ref="C30">_xlfn.IFS(AND(LEFT(A30,1)&gt;="a",LEFT(A30,1)&lt;="f"),0,AND(LEFT(A30,1)&gt;="g",LEFT(A30,1)&lt;="m"),1,AND(LEFT(A30,1)&gt;="n",LEFT(A30,1)&lt;="z"),2,TRUE,"ERRORE")</f>
        <v>2</v>
      </c>
      <c r="D30" s="4">
        <f t="shared" si="0"/>
        <v>14</v>
      </c>
    </row>
    <row r="31" spans="1:4" ht="15.75" customHeight="1" x14ac:dyDescent="0.15">
      <c r="A31" s="2" t="s">
        <v>32</v>
      </c>
      <c r="B31" s="5">
        <v>8</v>
      </c>
      <c r="C31" cm="1">
        <f t="array" ref="C31">_xlfn.IFS(AND(LEFT(A31,1)&gt;="a",LEFT(A31,1)&lt;="f"),0,AND(LEFT(A31,1)&gt;="g",LEFT(A31,1)&lt;="m"),1,AND(LEFT(A31,1)&gt;="n",LEFT(A31,1)&lt;="z"),2,TRUE,"ERRORE")</f>
        <v>2</v>
      </c>
      <c r="D31" s="4">
        <f t="shared" si="0"/>
        <v>16</v>
      </c>
    </row>
    <row r="32" spans="1:4" ht="15.75" customHeight="1" x14ac:dyDescent="0.15">
      <c r="A32" s="2" t="s">
        <v>33</v>
      </c>
      <c r="B32" s="5">
        <v>9</v>
      </c>
      <c r="C32" cm="1">
        <f t="array" ref="C32">_xlfn.IFS(AND(LEFT(A32,1)&gt;="a",LEFT(A32,1)&lt;="f"),0,AND(LEFT(A32,1)&gt;="g",LEFT(A32,1)&lt;="m"),1,AND(LEFT(A32,1)&gt;="n",LEFT(A32,1)&lt;="z"),2,TRUE,"ERRORE")</f>
        <v>2</v>
      </c>
      <c r="D32" s="4">
        <f t="shared" si="0"/>
        <v>18</v>
      </c>
    </row>
    <row r="33" spans="1:4" ht="15.75" customHeight="1" x14ac:dyDescent="0.15">
      <c r="A33" s="2" t="s">
        <v>34</v>
      </c>
      <c r="B33" s="5">
        <v>10</v>
      </c>
      <c r="C33" cm="1">
        <f t="array" ref="C33">_xlfn.IFS(AND(LEFT(A33,1)&gt;="a",LEFT(A33,1)&lt;="f"),0,AND(LEFT(A33,1)&gt;="g",LEFT(A33,1)&lt;="m"),1,AND(LEFT(A33,1)&gt;="n",LEFT(A33,1)&lt;="z"),2,TRUE,"ERRORE")</f>
        <v>2</v>
      </c>
      <c r="D33" s="4">
        <f t="shared" si="0"/>
        <v>20</v>
      </c>
    </row>
    <row r="34" spans="1:4" ht="15.75" customHeight="1" x14ac:dyDescent="0.15">
      <c r="A34" s="2" t="s">
        <v>35</v>
      </c>
      <c r="B34" s="5">
        <v>0.5</v>
      </c>
      <c r="C34" cm="1">
        <f t="array" ref="C34">_xlfn.IFS(AND(LEFT(A34,1)&gt;="a",LEFT(A34,1)&lt;="f"),0,AND(LEFT(A34,1)&gt;="g",LEFT(A34,1)&lt;="m"),1,AND(LEFT(A34,1)&gt;="n",LEFT(A34,1)&lt;="z"),2,TRUE,"ERRORE")</f>
        <v>0</v>
      </c>
      <c r="D34" s="4">
        <f t="shared" si="0"/>
        <v>2</v>
      </c>
    </row>
    <row r="35" spans="1:4" ht="15.75" customHeight="1" x14ac:dyDescent="0.15">
      <c r="A35" s="2" t="s">
        <v>36</v>
      </c>
      <c r="B35" s="5">
        <v>1</v>
      </c>
      <c r="C35" cm="1">
        <f t="array" ref="C35">_xlfn.IFS(AND(LEFT(A35,1)&gt;="a",LEFT(A35,1)&lt;="f"),0,AND(LEFT(A35,1)&gt;="g",LEFT(A35,1)&lt;="m"),1,AND(LEFT(A35,1)&gt;="n",LEFT(A35,1)&lt;="z"),2,TRUE,"ERRORE")</f>
        <v>0</v>
      </c>
      <c r="D35" s="4">
        <f t="shared" si="0"/>
        <v>4</v>
      </c>
    </row>
    <row r="36" spans="1:4" ht="15.75" customHeight="1" x14ac:dyDescent="0.15">
      <c r="A36" s="2" t="s">
        <v>37</v>
      </c>
      <c r="B36" s="5">
        <v>2</v>
      </c>
      <c r="C36" cm="1">
        <f t="array" ref="C36">_xlfn.IFS(AND(LEFT(A36,1)&gt;="a",LEFT(A36,1)&lt;="f"),0,AND(LEFT(A36,1)&gt;="g",LEFT(A36,1)&lt;="m"),1,AND(LEFT(A36,1)&gt;="n",LEFT(A36,1)&lt;="z"),2,TRUE,"ERRORE")</f>
        <v>0</v>
      </c>
      <c r="D36" s="4">
        <f t="shared" si="0"/>
        <v>8</v>
      </c>
    </row>
    <row r="37" spans="1:4" ht="15.75" customHeight="1" x14ac:dyDescent="0.15">
      <c r="A37" s="2" t="s">
        <v>38</v>
      </c>
      <c r="B37" s="5">
        <v>3</v>
      </c>
      <c r="C37" cm="1">
        <f t="array" ref="C37">_xlfn.IFS(AND(LEFT(A37,1)&gt;="a",LEFT(A37,1)&lt;="f"),0,AND(LEFT(A37,1)&gt;="g",LEFT(A37,1)&lt;="m"),1,AND(LEFT(A37,1)&gt;="n",LEFT(A37,1)&lt;="z"),2,TRUE,"ERRORE")</f>
        <v>1</v>
      </c>
      <c r="D37" s="4">
        <f t="shared" si="0"/>
        <v>9</v>
      </c>
    </row>
    <row r="38" spans="1:4" ht="15.75" customHeight="1" x14ac:dyDescent="0.15">
      <c r="A38" s="2" t="s">
        <v>39</v>
      </c>
      <c r="B38" s="5">
        <v>4</v>
      </c>
      <c r="C38" cm="1">
        <f t="array" ref="C38">_xlfn.IFS(AND(LEFT(A38,1)&gt;="a",LEFT(A38,1)&lt;="f"),0,AND(LEFT(A38,1)&gt;="g",LEFT(A38,1)&lt;="m"),1,AND(LEFT(A38,1)&gt;="n",LEFT(A38,1)&lt;="z"),2,TRUE,"ERRORE")</f>
        <v>1</v>
      </c>
      <c r="D38" s="4">
        <f t="shared" si="0"/>
        <v>12</v>
      </c>
    </row>
    <row r="39" spans="1:4" ht="15.75" customHeight="1" x14ac:dyDescent="0.15">
      <c r="A39" s="2" t="s">
        <v>40</v>
      </c>
      <c r="B39" s="5">
        <v>5</v>
      </c>
      <c r="C39" cm="1">
        <f t="array" ref="C39">_xlfn.IFS(AND(LEFT(A39,1)&gt;="a",LEFT(A39,1)&lt;="f"),0,AND(LEFT(A39,1)&gt;="g",LEFT(A39,1)&lt;="m"),1,AND(LEFT(A39,1)&gt;="n",LEFT(A39,1)&lt;="z"),2,TRUE,"ERRORE")</f>
        <v>1</v>
      </c>
      <c r="D39" s="4">
        <f t="shared" si="0"/>
        <v>15</v>
      </c>
    </row>
    <row r="40" spans="1:4" ht="15.75" customHeight="1" x14ac:dyDescent="0.15">
      <c r="A40" s="2" t="s">
        <v>41</v>
      </c>
      <c r="B40" s="5">
        <v>6</v>
      </c>
      <c r="C40" cm="1">
        <f t="array" ref="C40">_xlfn.IFS(AND(LEFT(A40,1)&gt;="a",LEFT(A40,1)&lt;="f"),0,AND(LEFT(A40,1)&gt;="g",LEFT(A40,1)&lt;="m"),1,AND(LEFT(A40,1)&gt;="n",LEFT(A40,1)&lt;="z"),2,TRUE,"ERRORE")</f>
        <v>1</v>
      </c>
      <c r="D40" s="4">
        <f t="shared" si="0"/>
        <v>18</v>
      </c>
    </row>
    <row r="41" spans="1:4" ht="15.75" customHeight="1" x14ac:dyDescent="0.15">
      <c r="A41" s="2" t="s">
        <v>42</v>
      </c>
      <c r="B41" s="5">
        <v>7</v>
      </c>
      <c r="C41" cm="1">
        <f t="array" ref="C41">_xlfn.IFS(AND(LEFT(A41,1)&gt;="a",LEFT(A41,1)&lt;="f"),0,AND(LEFT(A41,1)&gt;="g",LEFT(A41,1)&lt;="m"),1,AND(LEFT(A41,1)&gt;="n",LEFT(A41,1)&lt;="z"),2,TRUE,"ERRORE")</f>
        <v>2</v>
      </c>
      <c r="D41" s="4">
        <f t="shared" si="0"/>
        <v>14</v>
      </c>
    </row>
    <row r="42" spans="1:4" ht="15.75" customHeight="1" x14ac:dyDescent="0.15">
      <c r="A42" s="2" t="s">
        <v>43</v>
      </c>
      <c r="B42" s="5">
        <v>8</v>
      </c>
      <c r="C42" cm="1">
        <f t="array" ref="C42">_xlfn.IFS(AND(LEFT(A42,1)&gt;="a",LEFT(A42,1)&lt;="f"),0,AND(LEFT(A42,1)&gt;="g",LEFT(A42,1)&lt;="m"),1,AND(LEFT(A42,1)&gt;="n",LEFT(A42,1)&lt;="z"),2,TRUE,"ERRORE")</f>
        <v>2</v>
      </c>
      <c r="D42" s="4">
        <f t="shared" si="0"/>
        <v>16</v>
      </c>
    </row>
    <row r="43" spans="1:4" ht="15.75" customHeight="1" x14ac:dyDescent="0.15">
      <c r="A43" s="2" t="s">
        <v>44</v>
      </c>
      <c r="B43" s="5">
        <v>9</v>
      </c>
      <c r="C43" cm="1">
        <f t="array" ref="C43">_xlfn.IFS(AND(LEFT(A43,1)&gt;="a",LEFT(A43,1)&lt;="f"),0,AND(LEFT(A43,1)&gt;="g",LEFT(A43,1)&lt;="m"),1,AND(LEFT(A43,1)&gt;="n",LEFT(A43,1)&lt;="z"),2,TRUE,"ERRORE")</f>
        <v>2</v>
      </c>
      <c r="D43" s="4">
        <f t="shared" si="0"/>
        <v>18</v>
      </c>
    </row>
    <row r="44" spans="1:4" ht="15.75" customHeight="1" x14ac:dyDescent="0.15">
      <c r="A44" s="2" t="s">
        <v>6</v>
      </c>
      <c r="B44" s="5">
        <v>10</v>
      </c>
      <c r="C44" cm="1">
        <f t="array" ref="C44">_xlfn.IFS(AND(LEFT(A44,1)&gt;="a",LEFT(A44,1)&lt;="f"),0,AND(LEFT(A44,1)&gt;="g",LEFT(A44,1)&lt;="m"),1,AND(LEFT(A44,1)&gt;="n",LEFT(A44,1)&lt;="z"),2,TRUE,"ERRORE")</f>
        <v>2</v>
      </c>
      <c r="D44" s="4">
        <f t="shared" si="0"/>
        <v>20</v>
      </c>
    </row>
    <row r="45" spans="1:4" ht="15.75" customHeight="1" x14ac:dyDescent="0.15">
      <c r="A45" s="2" t="s">
        <v>45</v>
      </c>
      <c r="B45" s="5">
        <v>0.5</v>
      </c>
      <c r="C45" cm="1">
        <f t="array" ref="C45">_xlfn.IFS(AND(LEFT(A45,1)&gt;="a",LEFT(A45,1)&lt;="f"),0,AND(LEFT(A45,1)&gt;="g",LEFT(A45,1)&lt;="m"),1,AND(LEFT(A45,1)&gt;="n",LEFT(A45,1)&lt;="z"),2,TRUE,"ERRORE")</f>
        <v>2</v>
      </c>
      <c r="D45" s="4">
        <f t="shared" si="0"/>
        <v>1</v>
      </c>
    </row>
    <row r="46" spans="1:4" ht="15.75" customHeight="1" x14ac:dyDescent="0.15">
      <c r="A46" s="2" t="s">
        <v>46</v>
      </c>
      <c r="B46" s="5">
        <v>1</v>
      </c>
      <c r="C46" cm="1">
        <f t="array" ref="C46">_xlfn.IFS(AND(LEFT(A46,1)&gt;="a",LEFT(A46,1)&lt;="f"),0,AND(LEFT(A46,1)&gt;="g",LEFT(A46,1)&lt;="m"),1,AND(LEFT(A46,1)&gt;="n",LEFT(A46,1)&lt;="z"),2,TRUE,"ERRORE")</f>
        <v>2</v>
      </c>
      <c r="D46" s="4">
        <f t="shared" si="0"/>
        <v>2</v>
      </c>
    </row>
    <row r="47" spans="1:4" ht="15.75" customHeight="1" x14ac:dyDescent="0.15">
      <c r="A47" s="2" t="s">
        <v>47</v>
      </c>
      <c r="B47" s="5">
        <v>2</v>
      </c>
      <c r="C47" cm="1">
        <f t="array" ref="C47">_xlfn.IFS(AND(LEFT(A47,1)&gt;="a",LEFT(A47,1)&lt;="f"),0,AND(LEFT(A47,1)&gt;="g",LEFT(A47,1)&lt;="m"),1,AND(LEFT(A47,1)&gt;="n",LEFT(A47,1)&lt;="z"),2,TRUE,"ERRORE")</f>
        <v>0</v>
      </c>
      <c r="D47" s="4">
        <f t="shared" si="0"/>
        <v>8</v>
      </c>
    </row>
    <row r="48" spans="1:4" ht="15.75" customHeight="1" x14ac:dyDescent="0.15">
      <c r="A48" s="2" t="s">
        <v>48</v>
      </c>
      <c r="B48" s="5">
        <v>3</v>
      </c>
      <c r="C48" cm="1">
        <f t="array" ref="C48">_xlfn.IFS(AND(LEFT(A48,1)&gt;="a",LEFT(A48,1)&lt;="f"),0,AND(LEFT(A48,1)&gt;="g",LEFT(A48,1)&lt;="m"),1,AND(LEFT(A48,1)&gt;="n",LEFT(A48,1)&lt;="z"),2,TRUE,"ERRORE")</f>
        <v>0</v>
      </c>
      <c r="D48" s="4">
        <f t="shared" si="0"/>
        <v>12</v>
      </c>
    </row>
    <row r="49" spans="1:4" ht="15.75" customHeight="1" x14ac:dyDescent="0.15">
      <c r="A49" s="2" t="s">
        <v>49</v>
      </c>
      <c r="B49" s="5">
        <v>4</v>
      </c>
      <c r="C49" cm="1">
        <f t="array" ref="C49">_xlfn.IFS(AND(LEFT(A49,1)&gt;="a",LEFT(A49,1)&lt;="f"),0,AND(LEFT(A49,1)&gt;="g",LEFT(A49,1)&lt;="m"),1,AND(LEFT(A49,1)&gt;="n",LEFT(A49,1)&lt;="z"),2,TRUE,"ERRORE")</f>
        <v>0</v>
      </c>
      <c r="D49" s="4">
        <f t="shared" si="0"/>
        <v>16</v>
      </c>
    </row>
    <row r="50" spans="1:4" ht="15.75" customHeight="1" x14ac:dyDescent="0.15">
      <c r="A50" s="2" t="s">
        <v>50</v>
      </c>
      <c r="B50" s="5">
        <v>5</v>
      </c>
      <c r="C50" cm="1">
        <f t="array" ref="C50">_xlfn.IFS(AND(LEFT(A50,1)&gt;="a",LEFT(A50,1)&lt;="f"),0,AND(LEFT(A50,1)&gt;="g",LEFT(A50,1)&lt;="m"),1,AND(LEFT(A50,1)&gt;="n",LEFT(A50,1)&lt;="z"),2,TRUE,"ERRORE")</f>
        <v>1</v>
      </c>
      <c r="D50" s="4">
        <f t="shared" si="0"/>
        <v>15</v>
      </c>
    </row>
    <row r="51" spans="1:4" ht="15.75" customHeight="1" x14ac:dyDescent="0.15">
      <c r="A51" s="2" t="s">
        <v>51</v>
      </c>
      <c r="B51" s="5">
        <v>6</v>
      </c>
      <c r="C51" cm="1">
        <f t="array" ref="C51">_xlfn.IFS(AND(LEFT(A51,1)&gt;="a",LEFT(A51,1)&lt;="f"),0,AND(LEFT(A51,1)&gt;="g",LEFT(A51,1)&lt;="m"),1,AND(LEFT(A51,1)&gt;="n",LEFT(A51,1)&lt;="z"),2,TRUE,"ERRORE")</f>
        <v>1</v>
      </c>
      <c r="D51" s="4">
        <f t="shared" si="0"/>
        <v>18</v>
      </c>
    </row>
    <row r="52" spans="1:4" ht="15.75" customHeight="1" x14ac:dyDescent="0.15">
      <c r="A52" s="2" t="s">
        <v>52</v>
      </c>
      <c r="B52" s="5">
        <v>7</v>
      </c>
      <c r="C52" cm="1">
        <f t="array" ref="C52">_xlfn.IFS(AND(LEFT(A52,1)&gt;="a",LEFT(A52,1)&lt;="f"),0,AND(LEFT(A52,1)&gt;="g",LEFT(A52,1)&lt;="m"),1,AND(LEFT(A52,1)&gt;="n",LEFT(A52,1)&lt;="z"),2,TRUE,"ERRORE")</f>
        <v>1</v>
      </c>
      <c r="D52" s="4">
        <f t="shared" si="0"/>
        <v>21</v>
      </c>
    </row>
    <row r="53" spans="1:4" ht="15.75" customHeight="1" x14ac:dyDescent="0.15">
      <c r="A53" s="2" t="s">
        <v>53</v>
      </c>
      <c r="B53" s="5">
        <v>8</v>
      </c>
      <c r="C53" cm="1">
        <f t="array" ref="C53">_xlfn.IFS(AND(LEFT(A53,1)&gt;="a",LEFT(A53,1)&lt;="f"),0,AND(LEFT(A53,1)&gt;="g",LEFT(A53,1)&lt;="m"),1,AND(LEFT(A53,1)&gt;="n",LEFT(A53,1)&lt;="z"),2,TRUE,"ERRORE")</f>
        <v>1</v>
      </c>
      <c r="D53" s="4">
        <f t="shared" si="0"/>
        <v>24</v>
      </c>
    </row>
    <row r="54" spans="1:4" ht="15.75" customHeight="1" x14ac:dyDescent="0.15">
      <c r="A54" s="2" t="s">
        <v>54</v>
      </c>
      <c r="B54" s="5">
        <v>9</v>
      </c>
      <c r="C54" cm="1">
        <f t="array" ref="C54">_xlfn.IFS(AND(LEFT(A54,1)&gt;="a",LEFT(A54,1)&lt;="f"),0,AND(LEFT(A54,1)&gt;="g",LEFT(A54,1)&lt;="m"),1,AND(LEFT(A54,1)&gt;="n",LEFT(A54,1)&lt;="z"),2,TRUE,"ERRORE")</f>
        <v>2</v>
      </c>
      <c r="D54" s="4">
        <f t="shared" si="0"/>
        <v>18</v>
      </c>
    </row>
    <row r="55" spans="1:4" ht="15.75" customHeight="1" x14ac:dyDescent="0.15">
      <c r="A55" s="2" t="s">
        <v>55</v>
      </c>
      <c r="B55" s="5">
        <v>10</v>
      </c>
      <c r="C55" cm="1">
        <f t="array" ref="C55">_xlfn.IFS(AND(LEFT(A55,1)&gt;="a",LEFT(A55,1)&lt;="f"),0,AND(LEFT(A55,1)&gt;="g",LEFT(A55,1)&lt;="m"),1,AND(LEFT(A55,1)&gt;="n",LEFT(A55,1)&lt;="z"),2,TRUE,"ERRORE")</f>
        <v>2</v>
      </c>
      <c r="D55" s="4">
        <f t="shared" si="0"/>
        <v>20</v>
      </c>
    </row>
    <row r="56" spans="1:4" ht="15.75" customHeight="1" x14ac:dyDescent="0.15">
      <c r="A56" s="2" t="s">
        <v>56</v>
      </c>
      <c r="B56" s="5">
        <v>0.5</v>
      </c>
      <c r="C56" cm="1">
        <f t="array" ref="C56">_xlfn.IFS(AND(LEFT(A56,1)&gt;="a",LEFT(A56,1)&lt;="f"),0,AND(LEFT(A56,1)&gt;="g",LEFT(A56,1)&lt;="m"),1,AND(LEFT(A56,1)&gt;="n",LEFT(A56,1)&lt;="z"),2,TRUE,"ERRORE")</f>
        <v>2</v>
      </c>
      <c r="D56" s="4">
        <f t="shared" si="0"/>
        <v>1</v>
      </c>
    </row>
    <row r="57" spans="1:4" ht="15.75" customHeight="1" x14ac:dyDescent="0.15">
      <c r="A57" s="2" t="s">
        <v>57</v>
      </c>
      <c r="B57" s="5">
        <v>1</v>
      </c>
      <c r="C57" cm="1">
        <f t="array" ref="C57">_xlfn.IFS(AND(LEFT(A57,1)&gt;="a",LEFT(A57,1)&lt;="f"),0,AND(LEFT(A57,1)&gt;="g",LEFT(A57,1)&lt;="m"),1,AND(LEFT(A57,1)&gt;="n",LEFT(A57,1)&lt;="z"),2,TRUE,"ERRORE")</f>
        <v>2</v>
      </c>
      <c r="D57" s="4">
        <f t="shared" si="0"/>
        <v>2</v>
      </c>
    </row>
    <row r="58" spans="1:4" ht="15.75" customHeight="1" x14ac:dyDescent="0.15">
      <c r="A58" s="2" t="s">
        <v>58</v>
      </c>
      <c r="B58" s="5">
        <v>2</v>
      </c>
      <c r="C58" cm="1">
        <f t="array" ref="C58">_xlfn.IFS(AND(LEFT(A58,1)&gt;="a",LEFT(A58,1)&lt;="f"),0,AND(LEFT(A58,1)&gt;="g",LEFT(A58,1)&lt;="m"),1,AND(LEFT(A58,1)&gt;="n",LEFT(A58,1)&lt;="z"),2,TRUE,"ERRORE")</f>
        <v>2</v>
      </c>
      <c r="D58" s="4">
        <f t="shared" si="0"/>
        <v>4</v>
      </c>
    </row>
    <row r="59" spans="1:4" ht="15.75" customHeight="1" x14ac:dyDescent="0.15">
      <c r="A59" s="2" t="s">
        <v>59</v>
      </c>
      <c r="B59" s="5">
        <v>3</v>
      </c>
      <c r="C59" cm="1">
        <f t="array" ref="C59">_xlfn.IFS(AND(LEFT(A59,1)&gt;="a",LEFT(A59,1)&lt;="f"),0,AND(LEFT(A59,1)&gt;="g",LEFT(A59,1)&lt;="m"),1,AND(LEFT(A59,1)&gt;="n",LEFT(A59,1)&lt;="z"),2,TRUE,"ERRORE")</f>
        <v>2</v>
      </c>
      <c r="D59" s="4">
        <f t="shared" si="0"/>
        <v>6</v>
      </c>
    </row>
    <row r="60" spans="1:4" ht="13" x14ac:dyDescent="0.15">
      <c r="A60" s="2" t="s">
        <v>60</v>
      </c>
      <c r="B60" s="5">
        <v>4</v>
      </c>
      <c r="C60" cm="1">
        <f t="array" ref="C60">_xlfn.IFS(AND(LEFT(A60,1)&gt;="a",LEFT(A60,1)&lt;="f"),0,AND(LEFT(A60,1)&gt;="g",LEFT(A60,1)&lt;="m"),1,AND(LEFT(A60,1)&gt;="n",LEFT(A60,1)&lt;="z"),2,TRUE,"ERRORE")</f>
        <v>0</v>
      </c>
      <c r="D60" s="4">
        <f t="shared" si="0"/>
        <v>16</v>
      </c>
    </row>
    <row r="61" spans="1:4" ht="13" x14ac:dyDescent="0.15">
      <c r="A61" s="2" t="s">
        <v>61</v>
      </c>
      <c r="B61" s="5">
        <v>5</v>
      </c>
      <c r="C61" cm="1">
        <f t="array" ref="C61">_xlfn.IFS(AND(LEFT(A61,1)&gt;="a",LEFT(A61,1)&lt;="f"),0,AND(LEFT(A61,1)&gt;="g",LEFT(A61,1)&lt;="m"),1,AND(LEFT(A61,1)&gt;="n",LEFT(A61,1)&lt;="z"),2,TRUE,"ERRORE")</f>
        <v>0</v>
      </c>
      <c r="D61" s="4">
        <f t="shared" si="0"/>
        <v>20</v>
      </c>
    </row>
    <row r="62" spans="1:4" ht="13" x14ac:dyDescent="0.15">
      <c r="A62" s="2" t="s">
        <v>62</v>
      </c>
      <c r="B62" s="5">
        <v>6</v>
      </c>
      <c r="C62" cm="1">
        <f t="array" ref="C62">_xlfn.IFS(AND(LEFT(A62,1)&gt;="a",LEFT(A62,1)&lt;="f"),0,AND(LEFT(A62,1)&gt;="g",LEFT(A62,1)&lt;="m"),1,AND(LEFT(A62,1)&gt;="n",LEFT(A62,1)&lt;="z"),2,TRUE,"ERRORE")</f>
        <v>0</v>
      </c>
      <c r="D62" s="4">
        <f t="shared" si="0"/>
        <v>24</v>
      </c>
    </row>
    <row r="63" spans="1:4" ht="13" x14ac:dyDescent="0.15">
      <c r="A63" s="2" t="s">
        <v>63</v>
      </c>
      <c r="B63" s="5">
        <v>7</v>
      </c>
      <c r="C63" cm="1">
        <f t="array" ref="C63">_xlfn.IFS(AND(LEFT(A63,1)&gt;="a",LEFT(A63,1)&lt;="f"),0,AND(LEFT(A63,1)&gt;="g",LEFT(A63,1)&lt;="m"),1,AND(LEFT(A63,1)&gt;="n",LEFT(A63,1)&lt;="z"),2,TRUE,"ERRORE")</f>
        <v>1</v>
      </c>
      <c r="D63" s="4">
        <f t="shared" si="0"/>
        <v>21</v>
      </c>
    </row>
    <row r="64" spans="1:4" ht="13" x14ac:dyDescent="0.15">
      <c r="A64" s="2" t="s">
        <v>64</v>
      </c>
      <c r="B64" s="5">
        <v>8</v>
      </c>
      <c r="C64" cm="1">
        <f t="array" ref="C64">_xlfn.IFS(AND(LEFT(A64,1)&gt;="a",LEFT(A64,1)&lt;="f"),0,AND(LEFT(A64,1)&gt;="g",LEFT(A64,1)&lt;="m"),1,AND(LEFT(A64,1)&gt;="n",LEFT(A64,1)&lt;="z"),2,TRUE,"ERRORE")</f>
        <v>1</v>
      </c>
      <c r="D64" s="4">
        <f t="shared" si="0"/>
        <v>24</v>
      </c>
    </row>
    <row r="65" spans="1:4" ht="13" x14ac:dyDescent="0.15">
      <c r="A65" s="2" t="s">
        <v>65</v>
      </c>
      <c r="B65" s="5">
        <v>9</v>
      </c>
      <c r="C65" cm="1">
        <f t="array" ref="C65">_xlfn.IFS(AND(LEFT(A65,1)&gt;="a",LEFT(A65,1)&lt;="f"),0,AND(LEFT(A65,1)&gt;="g",LEFT(A65,1)&lt;="m"),1,AND(LEFT(A65,1)&gt;="n",LEFT(A65,1)&lt;="z"),2,TRUE,"ERRORE")</f>
        <v>1</v>
      </c>
      <c r="D65" s="4">
        <f t="shared" si="0"/>
        <v>27</v>
      </c>
    </row>
    <row r="66" spans="1:4" ht="13" x14ac:dyDescent="0.15">
      <c r="A66" s="2" t="s">
        <v>66</v>
      </c>
      <c r="B66" s="5">
        <v>10</v>
      </c>
      <c r="C66" cm="1">
        <f t="array" ref="C66">_xlfn.IFS(AND(LEFT(A66,1)&gt;="a",LEFT(A66,1)&lt;="f"),0,AND(LEFT(A66,1)&gt;="g",LEFT(A66,1)&lt;="m"),1,AND(LEFT(A66,1)&gt;="n",LEFT(A66,1)&lt;="z"),2,TRUE,"ERRORE")</f>
        <v>1</v>
      </c>
      <c r="D66" s="4">
        <f t="shared" si="0"/>
        <v>30</v>
      </c>
    </row>
    <row r="67" spans="1:4" ht="13" x14ac:dyDescent="0.15">
      <c r="A67" s="2" t="s">
        <v>67</v>
      </c>
      <c r="B67" s="5">
        <v>0.5</v>
      </c>
      <c r="C67" cm="1">
        <f t="array" ref="C67">_xlfn.IFS(AND(LEFT(A67,1)&gt;="a",LEFT(A67,1)&lt;="f"),0,AND(LEFT(A67,1)&gt;="g",LEFT(A67,1)&lt;="m"),1,AND(LEFT(A67,1)&gt;="n",LEFT(A67,1)&lt;="z"),2,TRUE,"ERRORE")</f>
        <v>2</v>
      </c>
      <c r="D67" s="4">
        <f t="shared" ref="D67:D101" si="1">_xlfn.IFS(C67=$E$4,$F$4*B67,C67=$E$5,$F$5*B67,C67=$E$6,$F$6*B67)</f>
        <v>1</v>
      </c>
    </row>
    <row r="68" spans="1:4" ht="13" x14ac:dyDescent="0.15">
      <c r="A68" s="2" t="s">
        <v>68</v>
      </c>
      <c r="B68" s="5">
        <v>1</v>
      </c>
      <c r="C68" cm="1">
        <f t="array" ref="C68">_xlfn.IFS(AND(LEFT(A68,1)&gt;="a",LEFT(A68,1)&lt;="f"),0,AND(LEFT(A68,1)&gt;="g",LEFT(A68,1)&lt;="m"),1,AND(LEFT(A68,1)&gt;="n",LEFT(A68,1)&lt;="z"),2,TRUE,"ERRORE")</f>
        <v>2</v>
      </c>
      <c r="D68" s="4">
        <f t="shared" si="1"/>
        <v>2</v>
      </c>
    </row>
    <row r="69" spans="1:4" ht="13" x14ac:dyDescent="0.15">
      <c r="A69" s="2" t="s">
        <v>69</v>
      </c>
      <c r="B69" s="5">
        <v>2</v>
      </c>
      <c r="C69" cm="1">
        <f t="array" ref="C69">_xlfn.IFS(AND(LEFT(A69,1)&gt;="a",LEFT(A69,1)&lt;="f"),0,AND(LEFT(A69,1)&gt;="g",LEFT(A69,1)&lt;="m"),1,AND(LEFT(A69,1)&gt;="n",LEFT(A69,1)&lt;="z"),2,TRUE,"ERRORE")</f>
        <v>2</v>
      </c>
      <c r="D69" s="4">
        <f t="shared" si="1"/>
        <v>4</v>
      </c>
    </row>
    <row r="70" spans="1:4" ht="13" x14ac:dyDescent="0.15">
      <c r="A70" s="2" t="s">
        <v>70</v>
      </c>
      <c r="B70" s="5">
        <v>3</v>
      </c>
      <c r="C70" cm="1">
        <f t="array" ref="C70">_xlfn.IFS(AND(LEFT(A70,1)&gt;="a",LEFT(A70,1)&lt;="f"),0,AND(LEFT(A70,1)&gt;="g",LEFT(A70,1)&lt;="m"),1,AND(LEFT(A70,1)&gt;="n",LEFT(A70,1)&lt;="z"),2,TRUE,"ERRORE")</f>
        <v>2</v>
      </c>
      <c r="D70" s="4">
        <f t="shared" si="1"/>
        <v>6</v>
      </c>
    </row>
    <row r="71" spans="1:4" ht="13" x14ac:dyDescent="0.15">
      <c r="A71" s="2" t="s">
        <v>71</v>
      </c>
      <c r="B71" s="5">
        <v>4</v>
      </c>
      <c r="C71" cm="1">
        <f t="array" ref="C71">_xlfn.IFS(AND(LEFT(A71,1)&gt;="a",LEFT(A71,1)&lt;="f"),0,AND(LEFT(A71,1)&gt;="g",LEFT(A71,1)&lt;="m"),1,AND(LEFT(A71,1)&gt;="n",LEFT(A71,1)&lt;="z"),2,TRUE,"ERRORE")</f>
        <v>2</v>
      </c>
      <c r="D71" s="4">
        <f t="shared" si="1"/>
        <v>8</v>
      </c>
    </row>
    <row r="72" spans="1:4" ht="13" x14ac:dyDescent="0.15">
      <c r="A72" s="2" t="s">
        <v>72</v>
      </c>
      <c r="B72" s="5">
        <v>5</v>
      </c>
      <c r="C72" cm="1">
        <f t="array" ref="C72">_xlfn.IFS(AND(LEFT(A72,1)&gt;="a",LEFT(A72,1)&lt;="f"),0,AND(LEFT(A72,1)&gt;="g",LEFT(A72,1)&lt;="m"),1,AND(LEFT(A72,1)&gt;="n",LEFT(A72,1)&lt;="z"),2,TRUE,"ERRORE")</f>
        <v>2</v>
      </c>
      <c r="D72" s="4">
        <f t="shared" si="1"/>
        <v>10</v>
      </c>
    </row>
    <row r="73" spans="1:4" ht="13" x14ac:dyDescent="0.15">
      <c r="A73" s="2" t="s">
        <v>73</v>
      </c>
      <c r="B73" s="5">
        <v>6</v>
      </c>
      <c r="C73" cm="1">
        <f t="array" ref="C73">_xlfn.IFS(AND(LEFT(A73,1)&gt;="a",LEFT(A73,1)&lt;="f"),0,AND(LEFT(A73,1)&gt;="g",LEFT(A73,1)&lt;="m"),1,AND(LEFT(A73,1)&gt;="n",LEFT(A73,1)&lt;="z"),2,TRUE,"ERRORE")</f>
        <v>0</v>
      </c>
      <c r="D73" s="4">
        <f t="shared" si="1"/>
        <v>24</v>
      </c>
    </row>
    <row r="74" spans="1:4" ht="13" x14ac:dyDescent="0.15">
      <c r="A74" s="2" t="s">
        <v>74</v>
      </c>
      <c r="B74" s="5">
        <v>7</v>
      </c>
      <c r="C74" cm="1">
        <f t="array" ref="C74">_xlfn.IFS(AND(LEFT(A74,1)&gt;="a",LEFT(A74,1)&lt;="f"),0,AND(LEFT(A74,1)&gt;="g",LEFT(A74,1)&lt;="m"),1,AND(LEFT(A74,1)&gt;="n",LEFT(A74,1)&lt;="z"),2,TRUE,"ERRORE")</f>
        <v>0</v>
      </c>
      <c r="D74" s="4">
        <f t="shared" si="1"/>
        <v>28</v>
      </c>
    </row>
    <row r="75" spans="1:4" ht="13" x14ac:dyDescent="0.15">
      <c r="A75" s="2" t="s">
        <v>75</v>
      </c>
      <c r="B75" s="5">
        <v>8</v>
      </c>
      <c r="C75" cm="1">
        <f t="array" ref="C75">_xlfn.IFS(AND(LEFT(A75,1)&gt;="a",LEFT(A75,1)&lt;="f"),0,AND(LEFT(A75,1)&gt;="g",LEFT(A75,1)&lt;="m"),1,AND(LEFT(A75,1)&gt;="n",LEFT(A75,1)&lt;="z"),2,TRUE,"ERRORE")</f>
        <v>0</v>
      </c>
      <c r="D75" s="4">
        <f t="shared" si="1"/>
        <v>32</v>
      </c>
    </row>
    <row r="76" spans="1:4" ht="13" x14ac:dyDescent="0.15">
      <c r="A76" s="2" t="s">
        <v>76</v>
      </c>
      <c r="B76" s="5">
        <v>9</v>
      </c>
      <c r="C76" cm="1">
        <f t="array" ref="C76">_xlfn.IFS(AND(LEFT(A76,1)&gt;="a",LEFT(A76,1)&lt;="f"),0,AND(LEFT(A76,1)&gt;="g",LEFT(A76,1)&lt;="m"),1,AND(LEFT(A76,1)&gt;="n",LEFT(A76,1)&lt;="z"),2,TRUE,"ERRORE")</f>
        <v>1</v>
      </c>
      <c r="D76" s="4">
        <f t="shared" si="1"/>
        <v>27</v>
      </c>
    </row>
    <row r="77" spans="1:4" ht="13" x14ac:dyDescent="0.15">
      <c r="A77" s="2" t="s">
        <v>77</v>
      </c>
      <c r="B77" s="5">
        <v>10</v>
      </c>
      <c r="C77" cm="1">
        <f t="array" ref="C77">_xlfn.IFS(AND(LEFT(A77,1)&gt;="a",LEFT(A77,1)&lt;="f"),0,AND(LEFT(A77,1)&gt;="g",LEFT(A77,1)&lt;="m"),1,AND(LEFT(A77,1)&gt;="n",LEFT(A77,1)&lt;="z"),2,TRUE,"ERRORE")</f>
        <v>1</v>
      </c>
      <c r="D77" s="4">
        <f t="shared" si="1"/>
        <v>30</v>
      </c>
    </row>
    <row r="78" spans="1:4" ht="13" x14ac:dyDescent="0.15">
      <c r="A78" s="2" t="s">
        <v>78</v>
      </c>
      <c r="B78" s="5">
        <v>0.5</v>
      </c>
      <c r="C78" cm="1">
        <f t="array" ref="C78">_xlfn.IFS(AND(LEFT(A78,1)&gt;="a",LEFT(A78,1)&lt;="f"),0,AND(LEFT(A78,1)&gt;="g",LEFT(A78,1)&lt;="m"),1,AND(LEFT(A78,1)&gt;="n",LEFT(A78,1)&lt;="z"),2,TRUE,"ERRORE")</f>
        <v>1</v>
      </c>
      <c r="D78" s="4">
        <f t="shared" si="1"/>
        <v>1.5</v>
      </c>
    </row>
    <row r="79" spans="1:4" ht="13" x14ac:dyDescent="0.15">
      <c r="A79" s="2" t="s">
        <v>79</v>
      </c>
      <c r="B79" s="5">
        <v>1</v>
      </c>
      <c r="C79" cm="1">
        <f t="array" ref="C79">_xlfn.IFS(AND(LEFT(A79,1)&gt;="a",LEFT(A79,1)&lt;="f"),0,AND(LEFT(A79,1)&gt;="g",LEFT(A79,1)&lt;="m"),1,AND(LEFT(A79,1)&gt;="n",LEFT(A79,1)&lt;="z"),2,TRUE,"ERRORE")</f>
        <v>1</v>
      </c>
      <c r="D79" s="4">
        <f t="shared" si="1"/>
        <v>3</v>
      </c>
    </row>
    <row r="80" spans="1:4" ht="13" x14ac:dyDescent="0.15">
      <c r="A80" s="2" t="s">
        <v>80</v>
      </c>
      <c r="B80" s="5">
        <v>2</v>
      </c>
      <c r="C80" cm="1">
        <f t="array" ref="C80">_xlfn.IFS(AND(LEFT(A80,1)&gt;="a",LEFT(A80,1)&lt;="f"),0,AND(LEFT(A80,1)&gt;="g",LEFT(A80,1)&lt;="m"),1,AND(LEFT(A80,1)&gt;="n",LEFT(A80,1)&lt;="z"),2,TRUE,"ERRORE")</f>
        <v>2</v>
      </c>
      <c r="D80" s="4">
        <f t="shared" si="1"/>
        <v>4</v>
      </c>
    </row>
    <row r="81" spans="1:4" ht="13" x14ac:dyDescent="0.15">
      <c r="A81" s="2" t="s">
        <v>81</v>
      </c>
      <c r="B81" s="5">
        <v>3</v>
      </c>
      <c r="C81" cm="1">
        <f t="array" ref="C81">_xlfn.IFS(AND(LEFT(A81,1)&gt;="a",LEFT(A81,1)&lt;="f"),0,AND(LEFT(A81,1)&gt;="g",LEFT(A81,1)&lt;="m"),1,AND(LEFT(A81,1)&gt;="n",LEFT(A81,1)&lt;="z"),2,TRUE,"ERRORE")</f>
        <v>2</v>
      </c>
      <c r="D81" s="4">
        <f t="shared" si="1"/>
        <v>6</v>
      </c>
    </row>
    <row r="82" spans="1:4" ht="13" x14ac:dyDescent="0.15">
      <c r="A82" s="2" t="s">
        <v>82</v>
      </c>
      <c r="B82" s="5">
        <v>4</v>
      </c>
      <c r="C82" cm="1">
        <f t="array" ref="C82">_xlfn.IFS(AND(LEFT(A82,1)&gt;="a",LEFT(A82,1)&lt;="f"),0,AND(LEFT(A82,1)&gt;="g",LEFT(A82,1)&lt;="m"),1,AND(LEFT(A82,1)&gt;="n",LEFT(A82,1)&lt;="z"),2,TRUE,"ERRORE")</f>
        <v>2</v>
      </c>
      <c r="D82" s="4">
        <f t="shared" si="1"/>
        <v>8</v>
      </c>
    </row>
    <row r="83" spans="1:4" ht="13" x14ac:dyDescent="0.15">
      <c r="A83" s="2" t="s">
        <v>83</v>
      </c>
      <c r="B83" s="5">
        <v>5</v>
      </c>
      <c r="C83" cm="1">
        <f t="array" ref="C83">_xlfn.IFS(AND(LEFT(A83,1)&gt;="a",LEFT(A83,1)&lt;="f"),0,AND(LEFT(A83,1)&gt;="g",LEFT(A83,1)&lt;="m"),1,AND(LEFT(A83,1)&gt;="n",LEFT(A83,1)&lt;="z"),2,TRUE,"ERRORE")</f>
        <v>2</v>
      </c>
      <c r="D83" s="4">
        <f t="shared" si="1"/>
        <v>10</v>
      </c>
    </row>
    <row r="84" spans="1:4" ht="13" x14ac:dyDescent="0.15">
      <c r="A84" s="2" t="s">
        <v>84</v>
      </c>
      <c r="B84" s="5">
        <v>6</v>
      </c>
      <c r="C84" cm="1">
        <f t="array" ref="C84">_xlfn.IFS(AND(LEFT(A84,1)&gt;="a",LEFT(A84,1)&lt;="f"),0,AND(LEFT(A84,1)&gt;="g",LEFT(A84,1)&lt;="m"),1,AND(LEFT(A84,1)&gt;="n",LEFT(A84,1)&lt;="z"),2,TRUE,"ERRORE")</f>
        <v>2</v>
      </c>
      <c r="D84" s="4">
        <f t="shared" si="1"/>
        <v>12</v>
      </c>
    </row>
    <row r="85" spans="1:4" ht="13" x14ac:dyDescent="0.15">
      <c r="A85" s="2" t="s">
        <v>85</v>
      </c>
      <c r="B85" s="5">
        <v>7</v>
      </c>
      <c r="C85" cm="1">
        <f t="array" ref="C85">_xlfn.IFS(AND(LEFT(A85,1)&gt;="a",LEFT(A85,1)&lt;="f"),0,AND(LEFT(A85,1)&gt;="g",LEFT(A85,1)&lt;="m"),1,AND(LEFT(A85,1)&gt;="n",LEFT(A85,1)&lt;="z"),2,TRUE,"ERRORE")</f>
        <v>2</v>
      </c>
      <c r="D85" s="4">
        <f t="shared" si="1"/>
        <v>14</v>
      </c>
    </row>
    <row r="86" spans="1:4" ht="13" x14ac:dyDescent="0.15">
      <c r="A86" s="2" t="s">
        <v>86</v>
      </c>
      <c r="B86" s="5">
        <v>8</v>
      </c>
      <c r="C86" cm="1">
        <f t="array" ref="C86">_xlfn.IFS(AND(LEFT(A86,1)&gt;="a",LEFT(A86,1)&lt;="f"),0,AND(LEFT(A86,1)&gt;="g",LEFT(A86,1)&lt;="m"),1,AND(LEFT(A86,1)&gt;="n",LEFT(A86,1)&lt;="z"),2,TRUE,"ERRORE")</f>
        <v>0</v>
      </c>
      <c r="D86" s="4">
        <f t="shared" si="1"/>
        <v>32</v>
      </c>
    </row>
    <row r="87" spans="1:4" ht="13" x14ac:dyDescent="0.15">
      <c r="A87" s="2" t="s">
        <v>87</v>
      </c>
      <c r="B87" s="5">
        <v>9</v>
      </c>
      <c r="C87" cm="1">
        <f t="array" ref="C87">_xlfn.IFS(AND(LEFT(A87,1)&gt;="a",LEFT(A87,1)&lt;="f"),0,AND(LEFT(A87,1)&gt;="g",LEFT(A87,1)&lt;="m"),1,AND(LEFT(A87,1)&gt;="n",LEFT(A87,1)&lt;="z"),2,TRUE,"ERRORE")</f>
        <v>0</v>
      </c>
      <c r="D87" s="4">
        <f t="shared" si="1"/>
        <v>36</v>
      </c>
    </row>
    <row r="88" spans="1:4" ht="13" x14ac:dyDescent="0.15">
      <c r="A88" s="2" t="s">
        <v>88</v>
      </c>
      <c r="B88" s="5">
        <v>10</v>
      </c>
      <c r="C88" cm="1">
        <f t="array" ref="C88">_xlfn.IFS(AND(LEFT(A88,1)&gt;="a",LEFT(A88,1)&lt;="f"),0,AND(LEFT(A88,1)&gt;="g",LEFT(A88,1)&lt;="m"),1,AND(LEFT(A88,1)&gt;="n",LEFT(A88,1)&lt;="z"),2,TRUE,"ERRORE")</f>
        <v>0</v>
      </c>
      <c r="D88" s="4">
        <f t="shared" si="1"/>
        <v>40</v>
      </c>
    </row>
    <row r="89" spans="1:4" ht="13" x14ac:dyDescent="0.15">
      <c r="A89" s="2" t="s">
        <v>89</v>
      </c>
      <c r="B89" s="5">
        <v>0.5</v>
      </c>
      <c r="C89" cm="1">
        <f t="array" ref="C89">_xlfn.IFS(AND(LEFT(A89,1)&gt;="a",LEFT(A89,1)&lt;="f"),0,AND(LEFT(A89,1)&gt;="g",LEFT(A89,1)&lt;="m"),1,AND(LEFT(A89,1)&gt;="n",LEFT(A89,1)&lt;="z"),2,TRUE,"ERRORE")</f>
        <v>1</v>
      </c>
      <c r="D89" s="4">
        <f t="shared" si="1"/>
        <v>1.5</v>
      </c>
    </row>
    <row r="90" spans="1:4" ht="13" x14ac:dyDescent="0.15">
      <c r="A90" s="2" t="s">
        <v>90</v>
      </c>
      <c r="B90" s="5">
        <v>1</v>
      </c>
      <c r="C90" cm="1">
        <f t="array" ref="C90">_xlfn.IFS(AND(LEFT(A90,1)&gt;="a",LEFT(A90,1)&lt;="f"),0,AND(LEFT(A90,1)&gt;="g",LEFT(A90,1)&lt;="m"),1,AND(LEFT(A90,1)&gt;="n",LEFT(A90,1)&lt;="z"),2,TRUE,"ERRORE")</f>
        <v>1</v>
      </c>
      <c r="D90" s="4">
        <f t="shared" si="1"/>
        <v>3</v>
      </c>
    </row>
    <row r="91" spans="1:4" ht="13" x14ac:dyDescent="0.15">
      <c r="A91" s="2" t="s">
        <v>91</v>
      </c>
      <c r="B91" s="5">
        <v>2</v>
      </c>
      <c r="C91" cm="1">
        <f t="array" ref="C91">_xlfn.IFS(AND(LEFT(A91,1)&gt;="a",LEFT(A91,1)&lt;="f"),0,AND(LEFT(A91,1)&gt;="g",LEFT(A91,1)&lt;="m"),1,AND(LEFT(A91,1)&gt;="n",LEFT(A91,1)&lt;="z"),2,TRUE,"ERRORE")</f>
        <v>1</v>
      </c>
      <c r="D91" s="4">
        <f t="shared" si="1"/>
        <v>6</v>
      </c>
    </row>
    <row r="92" spans="1:4" ht="13" x14ac:dyDescent="0.15">
      <c r="A92" s="2" t="s">
        <v>92</v>
      </c>
      <c r="B92" s="5">
        <v>3</v>
      </c>
      <c r="C92" cm="1">
        <f t="array" ref="C92">_xlfn.IFS(AND(LEFT(A92,1)&gt;="a",LEFT(A92,1)&lt;="f"),0,AND(LEFT(A92,1)&gt;="g",LEFT(A92,1)&lt;="m"),1,AND(LEFT(A92,1)&gt;="n",LEFT(A92,1)&lt;="z"),2,TRUE,"ERRORE")</f>
        <v>1</v>
      </c>
      <c r="D92" s="4">
        <f t="shared" si="1"/>
        <v>9</v>
      </c>
    </row>
    <row r="93" spans="1:4" ht="13" x14ac:dyDescent="0.15">
      <c r="A93" s="2" t="s">
        <v>93</v>
      </c>
      <c r="B93" s="5">
        <v>4</v>
      </c>
      <c r="C93" cm="1">
        <f t="array" ref="C93">_xlfn.IFS(AND(LEFT(A93,1)&gt;="a",LEFT(A93,1)&lt;="f"),0,AND(LEFT(A93,1)&gt;="g",LEFT(A93,1)&lt;="m"),1,AND(LEFT(A93,1)&gt;="n",LEFT(A93,1)&lt;="z"),2,TRUE,"ERRORE")</f>
        <v>2</v>
      </c>
      <c r="D93" s="4">
        <f t="shared" si="1"/>
        <v>8</v>
      </c>
    </row>
    <row r="94" spans="1:4" ht="13" x14ac:dyDescent="0.15">
      <c r="A94" s="2" t="s">
        <v>94</v>
      </c>
      <c r="B94" s="5">
        <v>5</v>
      </c>
      <c r="C94" cm="1">
        <f t="array" ref="C94">_xlfn.IFS(AND(LEFT(A94,1)&gt;="a",LEFT(A94,1)&lt;="f"),0,AND(LEFT(A94,1)&gt;="g",LEFT(A94,1)&lt;="m"),1,AND(LEFT(A94,1)&gt;="n",LEFT(A94,1)&lt;="z"),2,TRUE,"ERRORE")</f>
        <v>2</v>
      </c>
      <c r="D94" s="4">
        <f t="shared" si="1"/>
        <v>10</v>
      </c>
    </row>
    <row r="95" spans="1:4" ht="13" x14ac:dyDescent="0.15">
      <c r="A95" s="2" t="s">
        <v>95</v>
      </c>
      <c r="B95" s="5">
        <v>6</v>
      </c>
      <c r="C95" cm="1">
        <f t="array" ref="C95">_xlfn.IFS(AND(LEFT(A95,1)&gt;="a",LEFT(A95,1)&lt;="f"),0,AND(LEFT(A95,1)&gt;="g",LEFT(A95,1)&lt;="m"),1,AND(LEFT(A95,1)&gt;="n",LEFT(A95,1)&lt;="z"),2,TRUE,"ERRORE")</f>
        <v>2</v>
      </c>
      <c r="D95" s="4">
        <f t="shared" si="1"/>
        <v>12</v>
      </c>
    </row>
    <row r="96" spans="1:4" ht="13" x14ac:dyDescent="0.15">
      <c r="A96" s="2" t="s">
        <v>96</v>
      </c>
      <c r="B96" s="5">
        <v>7</v>
      </c>
      <c r="C96" cm="1">
        <f t="array" ref="C96">_xlfn.IFS(AND(LEFT(A96,1)&gt;="a",LEFT(A96,1)&lt;="f"),0,AND(LEFT(A96,1)&gt;="g",LEFT(A96,1)&lt;="m"),1,AND(LEFT(A96,1)&gt;="n",LEFT(A96,1)&lt;="z"),2,TRUE,"ERRORE")</f>
        <v>2</v>
      </c>
      <c r="D96" s="4">
        <f t="shared" si="1"/>
        <v>14</v>
      </c>
    </row>
    <row r="97" spans="1:4" ht="13" x14ac:dyDescent="0.15">
      <c r="A97" s="2" t="s">
        <v>97</v>
      </c>
      <c r="B97" s="5">
        <v>8</v>
      </c>
      <c r="C97" cm="1">
        <f t="array" ref="C97">_xlfn.IFS(AND(LEFT(A97,1)&gt;="a",LEFT(A97,1)&lt;="f"),0,AND(LEFT(A97,1)&gt;="g",LEFT(A97,1)&lt;="m"),1,AND(LEFT(A97,1)&gt;="n",LEFT(A97,1)&lt;="z"),2,TRUE,"ERRORE")</f>
        <v>2</v>
      </c>
      <c r="D97" s="4">
        <f t="shared" si="1"/>
        <v>16</v>
      </c>
    </row>
    <row r="98" spans="1:4" ht="13" x14ac:dyDescent="0.15">
      <c r="A98" s="2" t="s">
        <v>98</v>
      </c>
      <c r="B98" s="5">
        <v>9</v>
      </c>
      <c r="C98" cm="1">
        <f t="array" ref="C98">_xlfn.IFS(AND(LEFT(A98,1)&gt;="a",LEFT(A98,1)&lt;="f"),0,AND(LEFT(A98,1)&gt;="g",LEFT(A98,1)&lt;="m"),1,AND(LEFT(A98,1)&gt;="n",LEFT(A98,1)&lt;="z"),2,TRUE,"ERRORE")</f>
        <v>2</v>
      </c>
      <c r="D98" s="4">
        <f t="shared" si="1"/>
        <v>18</v>
      </c>
    </row>
    <row r="99" spans="1:4" ht="13" x14ac:dyDescent="0.15">
      <c r="A99" s="2" t="s">
        <v>99</v>
      </c>
      <c r="B99" s="5">
        <v>10</v>
      </c>
      <c r="C99" cm="1">
        <f t="array" ref="C99">_xlfn.IFS(AND(LEFT(A99,1)&gt;="a",LEFT(A99,1)&lt;="f"),0,AND(LEFT(A99,1)&gt;="g",LEFT(A99,1)&lt;="m"),1,AND(LEFT(A99,1)&gt;="n",LEFT(A99,1)&lt;="z"),2,TRUE,"ERRORE")</f>
        <v>0</v>
      </c>
      <c r="D99" s="4">
        <f t="shared" si="1"/>
        <v>40</v>
      </c>
    </row>
    <row r="100" spans="1:4" ht="13" x14ac:dyDescent="0.15">
      <c r="A100" s="2" t="s">
        <v>100</v>
      </c>
      <c r="B100" s="5">
        <v>0.5</v>
      </c>
      <c r="C100" cm="1">
        <f t="array" ref="C100">_xlfn.IFS(AND(LEFT(A100,1)&gt;="a",LEFT(A100,1)&lt;="f"),0,AND(LEFT(A100,1)&gt;="g",LEFT(A100,1)&lt;="m"),1,AND(LEFT(A100,1)&gt;="n",LEFT(A100,1)&lt;="z"),2,TRUE,"ERRORE")</f>
        <v>0</v>
      </c>
      <c r="D100" s="4">
        <f t="shared" si="1"/>
        <v>2</v>
      </c>
    </row>
    <row r="101" spans="1:4" ht="13" x14ac:dyDescent="0.15">
      <c r="A101" s="2" t="s">
        <v>101</v>
      </c>
      <c r="B101" s="5">
        <v>1</v>
      </c>
      <c r="C101" cm="1">
        <f t="array" ref="C101">_xlfn.IFS(AND(LEFT(A101,1)&gt;="a",LEFT(A101,1)&lt;="f"),0,AND(LEFT(A101,1)&gt;="g",LEFT(A101,1)&lt;="m"),1,AND(LEFT(A101,1)&gt;="n",LEFT(A101,1)&lt;="z"),2,TRUE,"ERRORE")</f>
        <v>0</v>
      </c>
      <c r="D101" s="4">
        <f t="shared" si="1"/>
        <v>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7"/>
  <sheetViews>
    <sheetView tabSelected="1" workbookViewId="0">
      <selection activeCell="H2" sqref="H2:H6"/>
    </sheetView>
  </sheetViews>
  <sheetFormatPr baseColWidth="10" defaultColWidth="12.6640625" defaultRowHeight="15.75" customHeight="1" x14ac:dyDescent="0.15"/>
  <cols>
    <col min="2" max="2" width="25.33203125" customWidth="1"/>
    <col min="3" max="3" width="20.1640625" customWidth="1"/>
    <col min="4" max="4" width="22.6640625" customWidth="1"/>
    <col min="5" max="5" width="27.6640625" customWidth="1"/>
    <col min="6" max="8" width="18.5" customWidth="1"/>
    <col min="9" max="9" width="5.6640625" customWidth="1"/>
  </cols>
  <sheetData>
    <row r="1" spans="1:26" s="10" customFormat="1" ht="63" customHeight="1" x14ac:dyDescent="0.15">
      <c r="A1" s="9" t="s">
        <v>102</v>
      </c>
      <c r="B1" s="9" t="s">
        <v>103</v>
      </c>
      <c r="C1" s="9" t="s">
        <v>3</v>
      </c>
      <c r="D1" s="9"/>
      <c r="E1" s="9" t="s">
        <v>111</v>
      </c>
      <c r="F1" s="9" t="s">
        <v>112</v>
      </c>
      <c r="G1" s="9" t="s">
        <v>113</v>
      </c>
      <c r="H1" s="9" t="s">
        <v>114</v>
      </c>
      <c r="I1" s="9"/>
      <c r="J1" s="9" t="s">
        <v>115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15">
      <c r="A2" s="2" t="s">
        <v>104</v>
      </c>
      <c r="B2" s="7">
        <v>55</v>
      </c>
      <c r="C2" s="4"/>
      <c r="E2" s="2" t="s">
        <v>104</v>
      </c>
      <c r="F2">
        <f>COUNTIF(frutta,E2)</f>
        <v>11</v>
      </c>
      <c r="G2" s="8">
        <f>SUMIF(frutta,E2,peso)</f>
        <v>525</v>
      </c>
      <c r="H2" s="4" cm="1">
        <f t="array" ref="H2">SUMIFS(costo,frutta,E2,peso,"&gt;"&amp;rif_peso)</f>
        <v>0</v>
      </c>
      <c r="J2">
        <v>80</v>
      </c>
    </row>
    <row r="3" spans="1:26" ht="15.75" customHeight="1" x14ac:dyDescent="0.15">
      <c r="A3" s="2" t="s">
        <v>105</v>
      </c>
      <c r="B3" s="7">
        <v>70</v>
      </c>
      <c r="C3" s="6">
        <v>80</v>
      </c>
      <c r="E3" s="2" t="s">
        <v>105</v>
      </c>
      <c r="F3">
        <f>COUNTIF(frutta,E3)</f>
        <v>14</v>
      </c>
      <c r="G3" s="8">
        <f>SUMIF(frutta,E3,peso)</f>
        <v>755</v>
      </c>
      <c r="H3" s="4" cm="1">
        <f t="array" ref="H3">SUMIFS(costo,frutta,E3,peso,"&gt;"&amp;rif_peso)</f>
        <v>75</v>
      </c>
    </row>
    <row r="4" spans="1:26" ht="15.75" customHeight="1" x14ac:dyDescent="0.15">
      <c r="A4" s="2" t="s">
        <v>106</v>
      </c>
      <c r="B4" s="7">
        <v>40</v>
      </c>
      <c r="C4" s="6">
        <v>60</v>
      </c>
      <c r="E4" s="2" t="s">
        <v>106</v>
      </c>
      <c r="F4">
        <f>COUNTIF(frutta,E4)</f>
        <v>11</v>
      </c>
      <c r="G4" s="8">
        <f>SUMIF(frutta,E4,peso)</f>
        <v>555</v>
      </c>
      <c r="H4" s="4" cm="1">
        <f t="array" ref="H4">SUMIFS(costo,frutta,E4,peso,"&gt;"&amp;rif_peso)</f>
        <v>0</v>
      </c>
    </row>
    <row r="5" spans="1:26" ht="15.75" customHeight="1" x14ac:dyDescent="0.15">
      <c r="A5" s="2" t="s">
        <v>104</v>
      </c>
      <c r="B5" s="7">
        <v>20</v>
      </c>
      <c r="C5" s="6">
        <v>100</v>
      </c>
      <c r="E5" s="2" t="s">
        <v>107</v>
      </c>
      <c r="F5">
        <f>COUNTIF(frutta,E5)</f>
        <v>7</v>
      </c>
      <c r="G5" s="8">
        <f>SUMIF(frutta,E5,peso)</f>
        <v>380</v>
      </c>
      <c r="H5" s="4" cm="1">
        <f t="array" ref="H5">SUMIFS(costo,frutta,E5,peso,"&gt;"&amp;rif_peso)</f>
        <v>30</v>
      </c>
    </row>
    <row r="6" spans="1:26" ht="15.75" customHeight="1" x14ac:dyDescent="0.15">
      <c r="A6" s="2" t="s">
        <v>107</v>
      </c>
      <c r="B6" s="7">
        <v>90</v>
      </c>
      <c r="C6" s="6">
        <v>30</v>
      </c>
      <c r="E6" s="2" t="s">
        <v>108</v>
      </c>
      <c r="F6">
        <f>COUNTIF(frutta,E6)</f>
        <v>3</v>
      </c>
      <c r="G6" s="8">
        <f>SUMIF(frutta,E6,peso)</f>
        <v>160</v>
      </c>
      <c r="H6" s="4" cm="1">
        <f t="array" ref="H6">SUMIFS(costo,frutta,E6,peso,"&gt;"&amp;rif_peso)</f>
        <v>0</v>
      </c>
    </row>
    <row r="7" spans="1:26" ht="15.75" customHeight="1" x14ac:dyDescent="0.15">
      <c r="A7" s="2" t="s">
        <v>105</v>
      </c>
      <c r="B7" s="7">
        <v>50</v>
      </c>
      <c r="C7" s="6">
        <v>40</v>
      </c>
    </row>
    <row r="8" spans="1:26" ht="15.75" customHeight="1" x14ac:dyDescent="0.15">
      <c r="A8" s="2" t="s">
        <v>106</v>
      </c>
      <c r="B8" s="7">
        <v>60</v>
      </c>
      <c r="C8" s="6">
        <v>55</v>
      </c>
    </row>
    <row r="9" spans="1:26" ht="15.75" customHeight="1" x14ac:dyDescent="0.15">
      <c r="A9" s="2" t="s">
        <v>104</v>
      </c>
      <c r="B9" s="7">
        <v>45</v>
      </c>
      <c r="C9" s="4"/>
    </row>
    <row r="10" spans="1:26" ht="15.75" customHeight="1" x14ac:dyDescent="0.15">
      <c r="A10" s="2" t="s">
        <v>105</v>
      </c>
      <c r="B10" s="7">
        <v>25</v>
      </c>
      <c r="C10" s="6">
        <v>85</v>
      </c>
    </row>
    <row r="11" spans="1:26" ht="15.75" customHeight="1" x14ac:dyDescent="0.15">
      <c r="A11" s="2" t="s">
        <v>107</v>
      </c>
      <c r="B11" s="7">
        <v>35</v>
      </c>
      <c r="C11" s="6">
        <v>50</v>
      </c>
    </row>
    <row r="12" spans="1:26" ht="15.75" customHeight="1" x14ac:dyDescent="0.15">
      <c r="A12" s="2" t="s">
        <v>108</v>
      </c>
      <c r="B12" s="7">
        <v>60</v>
      </c>
      <c r="C12" s="6">
        <v>95</v>
      </c>
    </row>
    <row r="13" spans="1:26" ht="15.75" customHeight="1" x14ac:dyDescent="0.15">
      <c r="A13" s="2" t="s">
        <v>106</v>
      </c>
      <c r="B13" s="7">
        <v>80</v>
      </c>
      <c r="C13" s="4"/>
    </row>
    <row r="14" spans="1:26" ht="15.75" customHeight="1" x14ac:dyDescent="0.15">
      <c r="A14" s="2" t="s">
        <v>105</v>
      </c>
      <c r="B14" s="7">
        <v>40</v>
      </c>
      <c r="C14" s="6">
        <v>45</v>
      </c>
    </row>
    <row r="15" spans="1:26" ht="15.75" customHeight="1" x14ac:dyDescent="0.15">
      <c r="A15" s="2" t="s">
        <v>104</v>
      </c>
      <c r="B15" s="7">
        <v>65</v>
      </c>
      <c r="C15" s="6">
        <v>65</v>
      </c>
    </row>
    <row r="16" spans="1:26" ht="15.75" customHeight="1" x14ac:dyDescent="0.15">
      <c r="A16" s="2" t="s">
        <v>106</v>
      </c>
      <c r="B16" s="7">
        <v>55</v>
      </c>
      <c r="C16" s="6">
        <v>30</v>
      </c>
    </row>
    <row r="17" spans="1:3" ht="15.75" customHeight="1" x14ac:dyDescent="0.15">
      <c r="A17" s="2" t="s">
        <v>107</v>
      </c>
      <c r="B17" s="7">
        <v>70</v>
      </c>
      <c r="C17" s="4"/>
    </row>
    <row r="18" spans="1:3" ht="15.75" customHeight="1" x14ac:dyDescent="0.15">
      <c r="A18" s="2" t="s">
        <v>105</v>
      </c>
      <c r="B18" s="7">
        <v>45</v>
      </c>
      <c r="C18" s="6">
        <v>80</v>
      </c>
    </row>
    <row r="19" spans="1:3" ht="15.75" customHeight="1" x14ac:dyDescent="0.15">
      <c r="A19" s="2" t="s">
        <v>104</v>
      </c>
      <c r="B19" s="7">
        <v>25</v>
      </c>
      <c r="C19" s="6">
        <v>60</v>
      </c>
    </row>
    <row r="20" spans="1:3" ht="15.75" customHeight="1" x14ac:dyDescent="0.15">
      <c r="A20" s="2" t="s">
        <v>105</v>
      </c>
      <c r="B20" s="7">
        <v>35</v>
      </c>
      <c r="C20" s="4"/>
    </row>
    <row r="21" spans="1:3" ht="15.75" customHeight="1" x14ac:dyDescent="0.15">
      <c r="A21" s="2" t="s">
        <v>106</v>
      </c>
      <c r="B21" s="7">
        <v>60</v>
      </c>
      <c r="C21" s="6">
        <v>30</v>
      </c>
    </row>
    <row r="22" spans="1:3" ht="15.75" customHeight="1" x14ac:dyDescent="0.15">
      <c r="A22" s="2" t="s">
        <v>104</v>
      </c>
      <c r="B22" s="7">
        <v>70</v>
      </c>
      <c r="C22" s="6">
        <v>40</v>
      </c>
    </row>
    <row r="23" spans="1:3" ht="15.75" customHeight="1" x14ac:dyDescent="0.15">
      <c r="A23" s="2" t="s">
        <v>105</v>
      </c>
      <c r="B23" s="7">
        <v>45</v>
      </c>
      <c r="C23" s="6">
        <v>55</v>
      </c>
    </row>
    <row r="24" spans="1:3" ht="15.75" customHeight="1" x14ac:dyDescent="0.15">
      <c r="A24" s="2" t="s">
        <v>107</v>
      </c>
      <c r="B24" s="7">
        <v>25</v>
      </c>
      <c r="C24" s="6">
        <v>70</v>
      </c>
    </row>
    <row r="25" spans="1:3" ht="15.75" customHeight="1" x14ac:dyDescent="0.15">
      <c r="A25" s="2" t="s">
        <v>108</v>
      </c>
      <c r="B25" s="7">
        <v>35</v>
      </c>
      <c r="C25" s="4"/>
    </row>
    <row r="26" spans="1:3" ht="15.75" customHeight="1" x14ac:dyDescent="0.15">
      <c r="A26" s="2" t="s">
        <v>106</v>
      </c>
      <c r="B26" s="7">
        <v>60</v>
      </c>
      <c r="C26" s="6">
        <v>50</v>
      </c>
    </row>
    <row r="27" spans="1:3" ht="15.75" customHeight="1" x14ac:dyDescent="0.15">
      <c r="A27" s="2" t="s">
        <v>105</v>
      </c>
      <c r="B27" s="7">
        <v>80</v>
      </c>
      <c r="C27" s="6">
        <v>95</v>
      </c>
    </row>
    <row r="28" spans="1:3" ht="15.75" customHeight="1" x14ac:dyDescent="0.15">
      <c r="A28" s="2" t="s">
        <v>104</v>
      </c>
      <c r="B28" s="7">
        <v>40</v>
      </c>
      <c r="C28" s="6">
        <v>75</v>
      </c>
    </row>
    <row r="29" spans="1:3" ht="15.75" customHeight="1" x14ac:dyDescent="0.15">
      <c r="A29" s="2" t="s">
        <v>106</v>
      </c>
      <c r="B29" s="7">
        <v>65</v>
      </c>
      <c r="C29" s="6">
        <v>45</v>
      </c>
    </row>
    <row r="30" spans="1:3" ht="15.75" customHeight="1" x14ac:dyDescent="0.15">
      <c r="A30" s="2" t="s">
        <v>105</v>
      </c>
      <c r="B30" s="7">
        <v>55</v>
      </c>
      <c r="C30" s="6">
        <v>65</v>
      </c>
    </row>
    <row r="31" spans="1:3" ht="15.75" customHeight="1" x14ac:dyDescent="0.15">
      <c r="A31" s="2" t="s">
        <v>107</v>
      </c>
      <c r="B31" s="7">
        <v>70</v>
      </c>
      <c r="C31" s="6">
        <v>30</v>
      </c>
    </row>
    <row r="32" spans="1:3" ht="15.75" customHeight="1" x14ac:dyDescent="0.15">
      <c r="A32" s="2" t="s">
        <v>104</v>
      </c>
      <c r="B32" s="7">
        <v>45</v>
      </c>
      <c r="C32" s="4"/>
    </row>
    <row r="33" spans="1:3" ht="15.75" customHeight="1" x14ac:dyDescent="0.15">
      <c r="A33" s="2" t="s">
        <v>105</v>
      </c>
      <c r="B33" s="7">
        <v>25</v>
      </c>
      <c r="C33" s="6">
        <v>80</v>
      </c>
    </row>
    <row r="34" spans="1:3" ht="15.75" customHeight="1" x14ac:dyDescent="0.15">
      <c r="A34" s="2" t="s">
        <v>106</v>
      </c>
      <c r="B34" s="7">
        <v>35</v>
      </c>
      <c r="C34" s="6">
        <v>60</v>
      </c>
    </row>
    <row r="35" spans="1:3" ht="15.75" customHeight="1" x14ac:dyDescent="0.15">
      <c r="A35" s="2" t="s">
        <v>104</v>
      </c>
      <c r="B35" s="7">
        <v>60</v>
      </c>
      <c r="C35" s="6">
        <v>100</v>
      </c>
    </row>
    <row r="36" spans="1:3" ht="15.75" customHeight="1" x14ac:dyDescent="0.15">
      <c r="A36" s="2" t="s">
        <v>105</v>
      </c>
      <c r="B36" s="7">
        <v>80</v>
      </c>
      <c r="C36" s="6">
        <v>30</v>
      </c>
    </row>
    <row r="37" spans="1:3" ht="15.75" customHeight="1" x14ac:dyDescent="0.15">
      <c r="A37" s="2" t="s">
        <v>107</v>
      </c>
      <c r="B37" s="7">
        <v>40</v>
      </c>
      <c r="C37" s="4"/>
    </row>
    <row r="38" spans="1:3" ht="15.75" customHeight="1" x14ac:dyDescent="0.15">
      <c r="A38" s="2" t="s">
        <v>108</v>
      </c>
      <c r="B38" s="7">
        <v>65</v>
      </c>
      <c r="C38" s="6">
        <v>55</v>
      </c>
    </row>
    <row r="39" spans="1:3" ht="15.75" customHeight="1" x14ac:dyDescent="0.15">
      <c r="A39" s="2" t="s">
        <v>106</v>
      </c>
      <c r="B39" s="7">
        <v>55</v>
      </c>
      <c r="C39" s="6">
        <v>70</v>
      </c>
    </row>
    <row r="40" spans="1:3" ht="15.75" customHeight="1" x14ac:dyDescent="0.15">
      <c r="A40" s="2" t="s">
        <v>105</v>
      </c>
      <c r="B40" s="7">
        <v>70</v>
      </c>
      <c r="C40" s="6">
        <v>85</v>
      </c>
    </row>
    <row r="41" spans="1:3" ht="15.75" customHeight="1" x14ac:dyDescent="0.15">
      <c r="A41" s="2" t="s">
        <v>104</v>
      </c>
      <c r="B41" s="7">
        <v>40</v>
      </c>
      <c r="C41" s="6">
        <v>50</v>
      </c>
    </row>
    <row r="42" spans="1:3" ht="15.75" customHeight="1" x14ac:dyDescent="0.15">
      <c r="A42" s="2" t="s">
        <v>106</v>
      </c>
      <c r="B42" s="7">
        <v>20</v>
      </c>
      <c r="C42" s="6">
        <v>95</v>
      </c>
    </row>
    <row r="43" spans="1:3" ht="15.75" customHeight="1" x14ac:dyDescent="0.15">
      <c r="A43" s="2" t="s">
        <v>105</v>
      </c>
      <c r="B43" s="7">
        <v>90</v>
      </c>
      <c r="C43" s="6">
        <v>75</v>
      </c>
    </row>
    <row r="44" spans="1:3" ht="15.75" customHeight="1" x14ac:dyDescent="0.15">
      <c r="A44" s="2" t="s">
        <v>107</v>
      </c>
      <c r="B44" s="7">
        <v>50</v>
      </c>
      <c r="C44" s="6">
        <v>45</v>
      </c>
    </row>
    <row r="45" spans="1:3" ht="15.75" customHeight="1" x14ac:dyDescent="0.15">
      <c r="A45" s="2" t="s">
        <v>104</v>
      </c>
      <c r="B45" s="7">
        <v>60</v>
      </c>
      <c r="C45" s="6">
        <v>65</v>
      </c>
    </row>
    <row r="46" spans="1:3" ht="15.75" customHeight="1" x14ac:dyDescent="0.15">
      <c r="A46" s="2" t="s">
        <v>105</v>
      </c>
      <c r="B46" s="7">
        <v>45</v>
      </c>
      <c r="C46" s="4"/>
    </row>
    <row r="47" spans="1:3" ht="15.75" customHeight="1" x14ac:dyDescent="0.15">
      <c r="A47" s="2" t="s">
        <v>106</v>
      </c>
      <c r="B47" s="7">
        <v>25</v>
      </c>
      <c r="C4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5</vt:i4>
      </vt:variant>
    </vt:vector>
  </HeadingPairs>
  <TitlesOfParts>
    <vt:vector size="7" baseType="lpstr">
      <vt:lpstr>Parcheggio</vt:lpstr>
      <vt:lpstr>Frutta</vt:lpstr>
      <vt:lpstr>costo</vt:lpstr>
      <vt:lpstr>frutta</vt:lpstr>
      <vt:lpstr>peso</vt:lpstr>
      <vt:lpstr>rif_peso</vt:lpstr>
      <vt:lpstr>tipologia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Giancarlo Ortolani</cp:lastModifiedBy>
  <dcterms:created xsi:type="dcterms:W3CDTF">2026-04-13T16:52:16Z</dcterms:created>
  <dcterms:modified xsi:type="dcterms:W3CDTF">2026-04-15T10:07:20Z</dcterms:modified>
</cp:coreProperties>
</file>